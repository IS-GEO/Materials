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ttps://kansas-my.sharepoint.com/personal/m312h412_home_ku_edu/Documents/Documents/From H/Man-pres/Proposals/2017/NSF-INFEWS/proposal/excel version/"/>
    </mc:Choice>
  </mc:AlternateContent>
  <bookViews>
    <workbookView xWindow="0" yWindow="0" windowWidth="20400" windowHeight="7185"/>
  </bookViews>
  <sheets>
    <sheet name="Form" sheetId="1" r:id="rId1"/>
    <sheet name="Assumptions" sheetId="6" r:id="rId2"/>
    <sheet name="Calcs" sheetId="2" r:id="rId3"/>
    <sheet name="Report" sheetId="3" state="hidden" r:id="rId4"/>
  </sheets>
  <definedNames>
    <definedName name="addrBN">Calcs!$A$60</definedName>
    <definedName name="addrBN20">Calcs!$E$60</definedName>
    <definedName name="addrBR">Calcs!$A$59</definedName>
    <definedName name="addrBR20">Calcs!$E$59</definedName>
    <definedName name="addrDate20">Calcs!$E$54</definedName>
    <definedName name="addrEngy">Calcs!$A$57</definedName>
    <definedName name="addrENGY20">Calcs!$E$57</definedName>
    <definedName name="addrENGYsls">Calcs!$A$62</definedName>
    <definedName name="addrENGYsls20">Calcs!$E$62</definedName>
    <definedName name="addrLoan">Calcs!$A$61</definedName>
    <definedName name="addrLoan20">Calcs!$E$61</definedName>
    <definedName name="addrNorm">Calcs!$A$56</definedName>
    <definedName name="addrNorm20">Calcs!$E$56</definedName>
    <definedName name="addrOM">Calcs!$A$63</definedName>
    <definedName name="addrOM20">Calcs!$E$63</definedName>
    <definedName name="addrRed">Calcs!$A$55</definedName>
    <definedName name="addrRed20">Calcs!$E$55</definedName>
    <definedName name="addrTime">Calcs!$A$86</definedName>
    <definedName name="addrTitle">Calcs!$A$53</definedName>
    <definedName name="addrTitle20">Calcs!$E$53</definedName>
    <definedName name="addrTotal">Calcs!$A$58</definedName>
    <definedName name="addrTotal20">Calcs!$E$58</definedName>
    <definedName name="addrX">Calcs!$A$54</definedName>
    <definedName name="From_Year">Form!$I$41</definedName>
    <definedName name="rngBN">INDIRECT(addrBN)</definedName>
    <definedName name="rngBN20">INDIRECT(addrBN20)</definedName>
    <definedName name="rngBR">INDIRECT(addrBR)</definedName>
    <definedName name="rngBR20">INDIRECT(addrBR20)</definedName>
    <definedName name="rngDate20">INDIRECT(addrDate20)</definedName>
    <definedName name="rngEngy">INDIRECT(addrEngy)</definedName>
    <definedName name="rngENGY20">INDIRECT(addrENGY20)</definedName>
    <definedName name="rngENGYsls">INDIRECT(addrENGYsls)</definedName>
    <definedName name="rngENGYsls20">INDIRECT(addrENGYsls20)</definedName>
    <definedName name="rngLoan">INDIRECT(addrLoan)</definedName>
    <definedName name="rngLoan20">INDIRECT(addrLoan20)</definedName>
    <definedName name="rngNorm">INDIRECT(addrNorm)</definedName>
    <definedName name="rngNorm20">INDIRECT(addrNorm20)</definedName>
    <definedName name="rngOM">INDIRECT(addrOM)</definedName>
    <definedName name="rngOM20">INDIRECT(addrOM20)</definedName>
    <definedName name="rngRed">INDIRECT(addrRed)</definedName>
    <definedName name="rngRed20">INDIRECT(addrRed20)</definedName>
    <definedName name="rngTIme">INDIRECT(addrTime)</definedName>
    <definedName name="rngTotal">INDIRECT(addrTotal)</definedName>
    <definedName name="rngTotal20">INDIRECT(addrTotal20)</definedName>
    <definedName name="rngX">INDIRECT(addrX)</definedName>
    <definedName name="To_Year">Form!$K$41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9" i="1" l="1"/>
  <c r="O71" i="1"/>
  <c r="X21" i="1" l="1"/>
  <c r="E53" i="2"/>
  <c r="A53" i="2"/>
  <c r="O63" i="1" l="1"/>
  <c r="O62" i="1"/>
  <c r="T21" i="1" l="1"/>
  <c r="P46" i="1" l="1"/>
  <c r="AP75" i="2" l="1"/>
  <c r="AO75" i="2"/>
  <c r="AN75" i="2"/>
  <c r="AM75" i="2"/>
  <c r="AL75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T60" i="1"/>
  <c r="X60" i="1"/>
  <c r="X61" i="1" s="1"/>
  <c r="T61" i="1" l="1"/>
  <c r="T63" i="1" s="1"/>
  <c r="X63" i="1"/>
  <c r="L4" i="2" l="1"/>
  <c r="B73" i="2" l="1"/>
  <c r="B70" i="2" l="1"/>
  <c r="B69" i="2"/>
  <c r="B68" i="2"/>
  <c r="B67" i="2"/>
  <c r="C66" i="2"/>
  <c r="B66" i="2"/>
  <c r="O58" i="2"/>
  <c r="O54" i="2"/>
  <c r="Q55" i="2" l="1"/>
  <c r="L24" i="2" l="1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S24" i="2"/>
  <c r="W78" i="2" s="1"/>
  <c r="S25" i="2"/>
  <c r="X78" i="2" s="1"/>
  <c r="S26" i="2"/>
  <c r="Y78" i="2" s="1"/>
  <c r="S27" i="2"/>
  <c r="Z78" i="2" s="1"/>
  <c r="S28" i="2"/>
  <c r="AA78" i="2" s="1"/>
  <c r="S29" i="2"/>
  <c r="AB78" i="2" s="1"/>
  <c r="S30" i="2"/>
  <c r="AC78" i="2" s="1"/>
  <c r="S31" i="2"/>
  <c r="AD78" i="2" s="1"/>
  <c r="S32" i="2"/>
  <c r="AE78" i="2" s="1"/>
  <c r="S33" i="2"/>
  <c r="AF78" i="2" s="1"/>
  <c r="S34" i="2"/>
  <c r="AG78" i="2" s="1"/>
  <c r="S35" i="2"/>
  <c r="AH78" i="2" s="1"/>
  <c r="S36" i="2"/>
  <c r="AI78" i="2" s="1"/>
  <c r="S37" i="2"/>
  <c r="AJ78" i="2" s="1"/>
  <c r="S38" i="2"/>
  <c r="AK78" i="2" s="1"/>
  <c r="S39" i="2"/>
  <c r="AL78" i="2" s="1"/>
  <c r="S40" i="2"/>
  <c r="AM78" i="2" s="1"/>
  <c r="S41" i="2"/>
  <c r="AN78" i="2" s="1"/>
  <c r="S42" i="2"/>
  <c r="AO78" i="2" s="1"/>
  <c r="S43" i="2"/>
  <c r="AP78" i="2" s="1"/>
  <c r="Q24" i="2"/>
  <c r="W76" i="2" s="1"/>
  <c r="Q25" i="2"/>
  <c r="X76" i="2" s="1"/>
  <c r="Q26" i="2"/>
  <c r="Y76" i="2" s="1"/>
  <c r="Q27" i="2"/>
  <c r="Z76" i="2" s="1"/>
  <c r="Q28" i="2"/>
  <c r="AA76" i="2" s="1"/>
  <c r="Q29" i="2"/>
  <c r="AB76" i="2" s="1"/>
  <c r="Q30" i="2"/>
  <c r="AC76" i="2" s="1"/>
  <c r="Q31" i="2"/>
  <c r="AD76" i="2" s="1"/>
  <c r="Q32" i="2"/>
  <c r="AE76" i="2" s="1"/>
  <c r="Q33" i="2"/>
  <c r="AF76" i="2" s="1"/>
  <c r="Q34" i="2"/>
  <c r="AG76" i="2" s="1"/>
  <c r="Q35" i="2"/>
  <c r="AH76" i="2" s="1"/>
  <c r="Q36" i="2"/>
  <c r="AI76" i="2" s="1"/>
  <c r="Q37" i="2"/>
  <c r="AJ76" i="2" s="1"/>
  <c r="Q38" i="2"/>
  <c r="AK76" i="2" s="1"/>
  <c r="Q39" i="2"/>
  <c r="AL76" i="2" s="1"/>
  <c r="Q40" i="2"/>
  <c r="AM76" i="2" s="1"/>
  <c r="Q41" i="2"/>
  <c r="AN76" i="2" s="1"/>
  <c r="Q42" i="2"/>
  <c r="AO76" i="2" s="1"/>
  <c r="Q43" i="2"/>
  <c r="AP76" i="2" s="1"/>
  <c r="O24" i="2"/>
  <c r="W74" i="2" s="1"/>
  <c r="O25" i="2"/>
  <c r="X74" i="2" s="1"/>
  <c r="O26" i="2"/>
  <c r="Y74" i="2" s="1"/>
  <c r="O27" i="2"/>
  <c r="Z74" i="2" s="1"/>
  <c r="O28" i="2"/>
  <c r="AA74" i="2" s="1"/>
  <c r="O29" i="2"/>
  <c r="AB74" i="2" s="1"/>
  <c r="O30" i="2"/>
  <c r="AC74" i="2" s="1"/>
  <c r="O31" i="2"/>
  <c r="AD74" i="2" s="1"/>
  <c r="O32" i="2"/>
  <c r="AE74" i="2" s="1"/>
  <c r="O33" i="2"/>
  <c r="AF74" i="2" s="1"/>
  <c r="O34" i="2"/>
  <c r="AG74" i="2" s="1"/>
  <c r="O35" i="2"/>
  <c r="AH74" i="2" s="1"/>
  <c r="O36" i="2"/>
  <c r="AI74" i="2" s="1"/>
  <c r="O37" i="2"/>
  <c r="AJ74" i="2" s="1"/>
  <c r="O38" i="2"/>
  <c r="AK74" i="2" s="1"/>
  <c r="O39" i="2"/>
  <c r="AL74" i="2" s="1"/>
  <c r="O40" i="2"/>
  <c r="AM74" i="2" s="1"/>
  <c r="O41" i="2"/>
  <c r="AN74" i="2" s="1"/>
  <c r="O42" i="2"/>
  <c r="AO74" i="2" s="1"/>
  <c r="O43" i="2"/>
  <c r="AP74" i="2" s="1"/>
  <c r="F46" i="2"/>
  <c r="K4" i="2" s="1"/>
  <c r="F45" i="2"/>
  <c r="G4" i="2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G43" i="2" l="1"/>
  <c r="AP68" i="2" s="1"/>
  <c r="G39" i="2"/>
  <c r="AL68" i="2" s="1"/>
  <c r="G35" i="2"/>
  <c r="AH68" i="2" s="1"/>
  <c r="G31" i="2"/>
  <c r="AD68" i="2" s="1"/>
  <c r="G27" i="2"/>
  <c r="Z68" i="2" s="1"/>
  <c r="G42" i="2"/>
  <c r="AO68" i="2" s="1"/>
  <c r="G38" i="2"/>
  <c r="AK68" i="2" s="1"/>
  <c r="G34" i="2"/>
  <c r="AG68" i="2" s="1"/>
  <c r="G30" i="2"/>
  <c r="AC68" i="2" s="1"/>
  <c r="G26" i="2"/>
  <c r="Y68" i="2" s="1"/>
  <c r="G41" i="2"/>
  <c r="AN68" i="2" s="1"/>
  <c r="G37" i="2"/>
  <c r="AJ68" i="2" s="1"/>
  <c r="G33" i="2"/>
  <c r="AF68" i="2" s="1"/>
  <c r="G29" i="2"/>
  <c r="AB68" i="2" s="1"/>
  <c r="G25" i="2"/>
  <c r="X68" i="2" s="1"/>
  <c r="G40" i="2"/>
  <c r="AM68" i="2" s="1"/>
  <c r="G36" i="2"/>
  <c r="AI68" i="2" s="1"/>
  <c r="G32" i="2"/>
  <c r="AE68" i="2" s="1"/>
  <c r="G28" i="2"/>
  <c r="AA68" i="2" s="1"/>
  <c r="G24" i="2"/>
  <c r="W68" i="2" s="1"/>
  <c r="K39" i="2"/>
  <c r="AL72" i="2" s="1"/>
  <c r="K35" i="2"/>
  <c r="AH72" i="2" s="1"/>
  <c r="K31" i="2"/>
  <c r="AD72" i="2" s="1"/>
  <c r="K27" i="2"/>
  <c r="Z72" i="2" s="1"/>
  <c r="K42" i="2"/>
  <c r="K38" i="2"/>
  <c r="AK72" i="2" s="1"/>
  <c r="K34" i="2"/>
  <c r="AG72" i="2" s="1"/>
  <c r="K30" i="2"/>
  <c r="AC72" i="2" s="1"/>
  <c r="K26" i="2"/>
  <c r="Y72" i="2" s="1"/>
  <c r="K43" i="2"/>
  <c r="AP72" i="2" s="1"/>
  <c r="K41" i="2"/>
  <c r="AN72" i="2" s="1"/>
  <c r="K37" i="2"/>
  <c r="AJ72" i="2" s="1"/>
  <c r="K33" i="2"/>
  <c r="AF72" i="2" s="1"/>
  <c r="K29" i="2"/>
  <c r="AB72" i="2" s="1"/>
  <c r="K25" i="2"/>
  <c r="X72" i="2" s="1"/>
  <c r="K40" i="2"/>
  <c r="AM72" i="2" s="1"/>
  <c r="K36" i="2"/>
  <c r="AI72" i="2" s="1"/>
  <c r="K32" i="2"/>
  <c r="AE72" i="2" s="1"/>
  <c r="K28" i="2"/>
  <c r="AA72" i="2" s="1"/>
  <c r="K24" i="2"/>
  <c r="W72" i="2" s="1"/>
  <c r="AO72" i="2"/>
  <c r="B43" i="2"/>
  <c r="B44" i="2" s="1"/>
  <c r="B45" i="2" s="1"/>
  <c r="B46" i="2" s="1"/>
  <c r="B47" i="2" s="1"/>
  <c r="B48" i="2" s="1"/>
  <c r="B49" i="2" s="1"/>
  <c r="B50" i="2" s="1"/>
  <c r="B51" i="2" s="1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X7" i="2"/>
  <c r="N5" i="2"/>
  <c r="S5" i="2"/>
  <c r="D78" i="2" s="1"/>
  <c r="S6" i="2"/>
  <c r="E78" i="2" s="1"/>
  <c r="S7" i="2"/>
  <c r="F78" i="2" s="1"/>
  <c r="S8" i="2"/>
  <c r="G78" i="2" s="1"/>
  <c r="S9" i="2"/>
  <c r="H78" i="2" s="1"/>
  <c r="S10" i="2"/>
  <c r="I78" i="2" s="1"/>
  <c r="S11" i="2"/>
  <c r="J78" i="2" s="1"/>
  <c r="S12" i="2"/>
  <c r="K78" i="2" s="1"/>
  <c r="S13" i="2"/>
  <c r="L78" i="2" s="1"/>
  <c r="S14" i="2"/>
  <c r="M78" i="2" s="1"/>
  <c r="S15" i="2"/>
  <c r="N78" i="2" s="1"/>
  <c r="S16" i="2"/>
  <c r="O78" i="2" s="1"/>
  <c r="S17" i="2"/>
  <c r="P78" i="2" s="1"/>
  <c r="S18" i="2"/>
  <c r="Q78" i="2" s="1"/>
  <c r="S19" i="2"/>
  <c r="R78" i="2" s="1"/>
  <c r="S20" i="2"/>
  <c r="S78" i="2" s="1"/>
  <c r="S21" i="2"/>
  <c r="T78" i="2" s="1"/>
  <c r="S22" i="2"/>
  <c r="U78" i="2" s="1"/>
  <c r="S23" i="2"/>
  <c r="V78" i="2" s="1"/>
  <c r="Q5" i="2"/>
  <c r="D76" i="2" s="1"/>
  <c r="Q6" i="2"/>
  <c r="E76" i="2" s="1"/>
  <c r="Q7" i="2"/>
  <c r="F76" i="2" s="1"/>
  <c r="Q8" i="2"/>
  <c r="G76" i="2" s="1"/>
  <c r="Q9" i="2"/>
  <c r="H76" i="2" s="1"/>
  <c r="Q10" i="2"/>
  <c r="I76" i="2" s="1"/>
  <c r="Q11" i="2"/>
  <c r="J76" i="2" s="1"/>
  <c r="Q12" i="2"/>
  <c r="K76" i="2" s="1"/>
  <c r="Q13" i="2"/>
  <c r="L76" i="2" s="1"/>
  <c r="Q14" i="2"/>
  <c r="M76" i="2" s="1"/>
  <c r="Q15" i="2"/>
  <c r="N76" i="2" s="1"/>
  <c r="Q16" i="2"/>
  <c r="O76" i="2" s="1"/>
  <c r="Q17" i="2"/>
  <c r="P76" i="2" s="1"/>
  <c r="Q18" i="2"/>
  <c r="Q76" i="2" s="1"/>
  <c r="Q19" i="2"/>
  <c r="R76" i="2" s="1"/>
  <c r="Q20" i="2"/>
  <c r="S76" i="2" s="1"/>
  <c r="Q21" i="2"/>
  <c r="T76" i="2" s="1"/>
  <c r="Q22" i="2"/>
  <c r="U76" i="2" s="1"/>
  <c r="Q23" i="2"/>
  <c r="V76" i="2" s="1"/>
  <c r="Q4" i="2"/>
  <c r="C76" i="2" s="1"/>
  <c r="O5" i="2"/>
  <c r="D74" i="2" s="1"/>
  <c r="O6" i="2"/>
  <c r="E74" i="2" s="1"/>
  <c r="O7" i="2"/>
  <c r="F74" i="2" s="1"/>
  <c r="O8" i="2"/>
  <c r="G74" i="2" s="1"/>
  <c r="O9" i="2"/>
  <c r="H74" i="2" s="1"/>
  <c r="O10" i="2"/>
  <c r="I74" i="2" s="1"/>
  <c r="O11" i="2"/>
  <c r="J74" i="2" s="1"/>
  <c r="O12" i="2"/>
  <c r="K74" i="2" s="1"/>
  <c r="O13" i="2"/>
  <c r="L74" i="2" s="1"/>
  <c r="O14" i="2"/>
  <c r="M74" i="2" s="1"/>
  <c r="O15" i="2"/>
  <c r="N74" i="2" s="1"/>
  <c r="O16" i="2"/>
  <c r="O74" i="2" s="1"/>
  <c r="O17" i="2"/>
  <c r="P74" i="2" s="1"/>
  <c r="O18" i="2"/>
  <c r="Q74" i="2" s="1"/>
  <c r="O19" i="2"/>
  <c r="R74" i="2" s="1"/>
  <c r="O20" i="2"/>
  <c r="S74" i="2" s="1"/>
  <c r="O21" i="2"/>
  <c r="T74" i="2" s="1"/>
  <c r="O22" i="2"/>
  <c r="U74" i="2" s="1"/>
  <c r="O23" i="2"/>
  <c r="V74" i="2" s="1"/>
  <c r="S4" i="2"/>
  <c r="C78" i="2" s="1"/>
  <c r="O4" i="2"/>
  <c r="O56" i="2" l="1"/>
  <c r="V25" i="2"/>
  <c r="V24" i="2"/>
  <c r="G20" i="2"/>
  <c r="S68" i="2" s="1"/>
  <c r="G16" i="2"/>
  <c r="O68" i="2" s="1"/>
  <c r="G12" i="2"/>
  <c r="K68" i="2" s="1"/>
  <c r="K8" i="2"/>
  <c r="J8" i="2" s="1"/>
  <c r="G8" i="2"/>
  <c r="G68" i="2" s="1"/>
  <c r="G23" i="2"/>
  <c r="V68" i="2" s="1"/>
  <c r="G19" i="2"/>
  <c r="R68" i="2" s="1"/>
  <c r="G15" i="2"/>
  <c r="N68" i="2" s="1"/>
  <c r="G11" i="2"/>
  <c r="J68" i="2" s="1"/>
  <c r="K7" i="2"/>
  <c r="J7" i="2" s="1"/>
  <c r="G7" i="2"/>
  <c r="F68" i="2" s="1"/>
  <c r="G22" i="2"/>
  <c r="U68" i="2" s="1"/>
  <c r="G18" i="2"/>
  <c r="Q68" i="2" s="1"/>
  <c r="G14" i="2"/>
  <c r="M68" i="2" s="1"/>
  <c r="G10" i="2"/>
  <c r="I68" i="2" s="1"/>
  <c r="K6" i="2"/>
  <c r="J6" i="2" s="1"/>
  <c r="G6" i="2"/>
  <c r="E68" i="2" s="1"/>
  <c r="G21" i="2"/>
  <c r="T68" i="2" s="1"/>
  <c r="G17" i="2"/>
  <c r="P68" i="2" s="1"/>
  <c r="G13" i="2"/>
  <c r="L68" i="2" s="1"/>
  <c r="G9" i="2"/>
  <c r="H68" i="2" s="1"/>
  <c r="K5" i="2"/>
  <c r="J5" i="2" s="1"/>
  <c r="G5" i="2"/>
  <c r="D68" i="2" s="1"/>
  <c r="K22" i="2"/>
  <c r="U72" i="2" s="1"/>
  <c r="K18" i="2"/>
  <c r="Q72" i="2" s="1"/>
  <c r="K20" i="2"/>
  <c r="S72" i="2" s="1"/>
  <c r="K16" i="2"/>
  <c r="O72" i="2" s="1"/>
  <c r="K23" i="2"/>
  <c r="V72" i="2" s="1"/>
  <c r="K19" i="2"/>
  <c r="R72" i="2" s="1"/>
  <c r="K15" i="2"/>
  <c r="N72" i="2" s="1"/>
  <c r="K11" i="2"/>
  <c r="J72" i="2" s="1"/>
  <c r="K14" i="2"/>
  <c r="M72" i="2" s="1"/>
  <c r="K10" i="2"/>
  <c r="I72" i="2" s="1"/>
  <c r="K21" i="2"/>
  <c r="T72" i="2" s="1"/>
  <c r="K17" i="2"/>
  <c r="P72" i="2" s="1"/>
  <c r="K13" i="2"/>
  <c r="L72" i="2" s="1"/>
  <c r="K9" i="2"/>
  <c r="H72" i="2" s="1"/>
  <c r="K12" i="2"/>
  <c r="X81" i="2"/>
  <c r="V29" i="2"/>
  <c r="AB81" i="2" s="1"/>
  <c r="V33" i="2"/>
  <c r="V37" i="2"/>
  <c r="V41" i="2"/>
  <c r="AN81" i="2" s="1"/>
  <c r="V36" i="2"/>
  <c r="AI81" i="2" s="1"/>
  <c r="V40" i="2"/>
  <c r="AM81" i="2" s="1"/>
  <c r="V26" i="2"/>
  <c r="Y81" i="2" s="1"/>
  <c r="V30" i="2"/>
  <c r="AC81" i="2" s="1"/>
  <c r="V34" i="2"/>
  <c r="AG81" i="2" s="1"/>
  <c r="V38" i="2"/>
  <c r="AK81" i="2" s="1"/>
  <c r="V42" i="2"/>
  <c r="AO81" i="2" s="1"/>
  <c r="V28" i="2"/>
  <c r="AA81" i="2" s="1"/>
  <c r="W81" i="2"/>
  <c r="V27" i="2"/>
  <c r="Z81" i="2" s="1"/>
  <c r="V31" i="2"/>
  <c r="AD81" i="2" s="1"/>
  <c r="V35" i="2"/>
  <c r="AH81" i="2" s="1"/>
  <c r="V39" i="2"/>
  <c r="AL81" i="2" s="1"/>
  <c r="V43" i="2"/>
  <c r="AP81" i="2" s="1"/>
  <c r="V32" i="2"/>
  <c r="AE81" i="2" s="1"/>
  <c r="C74" i="2"/>
  <c r="V6" i="2"/>
  <c r="E81" i="2" s="1"/>
  <c r="V8" i="2"/>
  <c r="G81" i="2" s="1"/>
  <c r="V10" i="2"/>
  <c r="I81" i="2" s="1"/>
  <c r="V12" i="2"/>
  <c r="K81" i="2" s="1"/>
  <c r="V14" i="2"/>
  <c r="M81" i="2" s="1"/>
  <c r="V16" i="2"/>
  <c r="O81" i="2" s="1"/>
  <c r="V18" i="2"/>
  <c r="Q81" i="2" s="1"/>
  <c r="V20" i="2"/>
  <c r="S81" i="2" s="1"/>
  <c r="V22" i="2"/>
  <c r="U81" i="2" s="1"/>
  <c r="AF81" i="2"/>
  <c r="AJ81" i="2"/>
  <c r="D81" i="2"/>
  <c r="V9" i="2"/>
  <c r="H81" i="2" s="1"/>
  <c r="V13" i="2"/>
  <c r="L81" i="2" s="1"/>
  <c r="V17" i="2"/>
  <c r="P81" i="2" s="1"/>
  <c r="V21" i="2"/>
  <c r="T81" i="2" s="1"/>
  <c r="V7" i="2"/>
  <c r="F81" i="2" s="1"/>
  <c r="V11" i="2"/>
  <c r="J81" i="2" s="1"/>
  <c r="V15" i="2"/>
  <c r="N81" i="2" s="1"/>
  <c r="V19" i="2"/>
  <c r="R81" i="2" s="1"/>
  <c r="V23" i="2"/>
  <c r="V81" i="2" s="1"/>
  <c r="C68" i="2"/>
  <c r="N6" i="2"/>
  <c r="X8" i="2"/>
  <c r="X9" i="2" s="1"/>
  <c r="R26" i="2"/>
  <c r="Y77" i="2" s="1"/>
  <c r="R30" i="2"/>
  <c r="AC77" i="2" s="1"/>
  <c r="R34" i="2"/>
  <c r="AG77" i="2" s="1"/>
  <c r="R38" i="2"/>
  <c r="AK77" i="2" s="1"/>
  <c r="R42" i="2"/>
  <c r="AO77" i="2" s="1"/>
  <c r="R37" i="2"/>
  <c r="AJ77" i="2" s="1"/>
  <c r="R27" i="2"/>
  <c r="Z77" i="2" s="1"/>
  <c r="R31" i="2"/>
  <c r="AD77" i="2" s="1"/>
  <c r="R35" i="2"/>
  <c r="AH77" i="2" s="1"/>
  <c r="R39" i="2"/>
  <c r="AL77" i="2" s="1"/>
  <c r="R43" i="2"/>
  <c r="AP77" i="2" s="1"/>
  <c r="R25" i="2"/>
  <c r="X77" i="2" s="1"/>
  <c r="R33" i="2"/>
  <c r="AF77" i="2" s="1"/>
  <c r="R41" i="2"/>
  <c r="AN77" i="2" s="1"/>
  <c r="R24" i="2"/>
  <c r="W77" i="2" s="1"/>
  <c r="R28" i="2"/>
  <c r="AA77" i="2" s="1"/>
  <c r="R32" i="2"/>
  <c r="AE77" i="2" s="1"/>
  <c r="R36" i="2"/>
  <c r="AI77" i="2" s="1"/>
  <c r="R40" i="2"/>
  <c r="AM77" i="2" s="1"/>
  <c r="R29" i="2"/>
  <c r="AB77" i="2" s="1"/>
  <c r="C3" i="3"/>
  <c r="C5" i="3"/>
  <c r="C9" i="3"/>
  <c r="C13" i="3"/>
  <c r="C17" i="3"/>
  <c r="C21" i="3"/>
  <c r="C6" i="3"/>
  <c r="C10" i="3"/>
  <c r="C14" i="3"/>
  <c r="C18" i="3"/>
  <c r="C22" i="3"/>
  <c r="C7" i="3"/>
  <c r="C11" i="3"/>
  <c r="C15" i="3"/>
  <c r="C19" i="3"/>
  <c r="C4" i="3"/>
  <c r="C8" i="3"/>
  <c r="C12" i="3"/>
  <c r="C16" i="3"/>
  <c r="C20" i="3"/>
  <c r="R21" i="2"/>
  <c r="T77" i="2" s="1"/>
  <c r="R13" i="2"/>
  <c r="L77" i="2" s="1"/>
  <c r="C81" i="2"/>
  <c r="R5" i="2"/>
  <c r="D77" i="2" s="1"/>
  <c r="R12" i="2"/>
  <c r="K77" i="2" s="1"/>
  <c r="R6" i="2"/>
  <c r="E77" i="2" s="1"/>
  <c r="R17" i="2"/>
  <c r="P77" i="2" s="1"/>
  <c r="R9" i="2"/>
  <c r="H77" i="2" s="1"/>
  <c r="R20" i="2"/>
  <c r="S77" i="2" s="1"/>
  <c r="R16" i="2"/>
  <c r="O77" i="2" s="1"/>
  <c r="R8" i="2"/>
  <c r="G77" i="2" s="1"/>
  <c r="R23" i="2"/>
  <c r="V77" i="2" s="1"/>
  <c r="R19" i="2"/>
  <c r="R77" i="2" s="1"/>
  <c r="R15" i="2"/>
  <c r="N77" i="2" s="1"/>
  <c r="R11" i="2"/>
  <c r="J77" i="2" s="1"/>
  <c r="R7" i="2"/>
  <c r="F77" i="2" s="1"/>
  <c r="R22" i="2"/>
  <c r="U77" i="2" s="1"/>
  <c r="R18" i="2"/>
  <c r="Q77" i="2" s="1"/>
  <c r="R14" i="2"/>
  <c r="M77" i="2" s="1"/>
  <c r="R10" i="2"/>
  <c r="I77" i="2" s="1"/>
  <c r="R4" i="2"/>
  <c r="C77" i="2" s="1"/>
  <c r="E5" i="2"/>
  <c r="K72" i="2" l="1"/>
  <c r="G72" i="2"/>
  <c r="F72" i="2"/>
  <c r="E72" i="2"/>
  <c r="D72" i="2"/>
  <c r="C72" i="2"/>
  <c r="J4" i="2"/>
  <c r="E6" i="2"/>
  <c r="D66" i="2"/>
  <c r="F6" i="2"/>
  <c r="E67" i="2" s="1"/>
  <c r="F7" i="2"/>
  <c r="F67" i="2" s="1"/>
  <c r="F8" i="2"/>
  <c r="G67" i="2" s="1"/>
  <c r="N7" i="2"/>
  <c r="F5" i="2"/>
  <c r="D67" i="2" s="1"/>
  <c r="F4" i="2"/>
  <c r="T26" i="2"/>
  <c r="Y79" i="2" s="1"/>
  <c r="T30" i="2"/>
  <c r="AC79" i="2" s="1"/>
  <c r="T34" i="2"/>
  <c r="AG79" i="2" s="1"/>
  <c r="T38" i="2"/>
  <c r="AK79" i="2" s="1"/>
  <c r="T42" i="2"/>
  <c r="AO79" i="2" s="1"/>
  <c r="T29" i="2"/>
  <c r="AB79" i="2" s="1"/>
  <c r="T37" i="2"/>
  <c r="AJ79" i="2" s="1"/>
  <c r="T27" i="2"/>
  <c r="Z79" i="2" s="1"/>
  <c r="T31" i="2"/>
  <c r="AD79" i="2" s="1"/>
  <c r="T35" i="2"/>
  <c r="AH79" i="2" s="1"/>
  <c r="T39" i="2"/>
  <c r="AL79" i="2" s="1"/>
  <c r="T43" i="2"/>
  <c r="AP79" i="2" s="1"/>
  <c r="T24" i="2"/>
  <c r="W79" i="2" s="1"/>
  <c r="T28" i="2"/>
  <c r="AA79" i="2" s="1"/>
  <c r="T32" i="2"/>
  <c r="AE79" i="2" s="1"/>
  <c r="T36" i="2"/>
  <c r="AI79" i="2" s="1"/>
  <c r="T40" i="2"/>
  <c r="AM79" i="2" s="1"/>
  <c r="T25" i="2"/>
  <c r="X79" i="2" s="1"/>
  <c r="T33" i="2"/>
  <c r="AF79" i="2" s="1"/>
  <c r="T41" i="2"/>
  <c r="AN79" i="2" s="1"/>
  <c r="X10" i="2"/>
  <c r="D79" i="2"/>
  <c r="T9" i="2"/>
  <c r="H79" i="2" s="1"/>
  <c r="T13" i="2"/>
  <c r="L79" i="2" s="1"/>
  <c r="T17" i="2"/>
  <c r="P79" i="2" s="1"/>
  <c r="T21" i="2"/>
  <c r="T79" i="2" s="1"/>
  <c r="T6" i="2"/>
  <c r="E79" i="2" s="1"/>
  <c r="T10" i="2"/>
  <c r="I79" i="2" s="1"/>
  <c r="T14" i="2"/>
  <c r="M79" i="2" s="1"/>
  <c r="T18" i="2"/>
  <c r="Q79" i="2" s="1"/>
  <c r="T22" i="2"/>
  <c r="U79" i="2" s="1"/>
  <c r="T7" i="2"/>
  <c r="F79" i="2" s="1"/>
  <c r="T11" i="2"/>
  <c r="J79" i="2" s="1"/>
  <c r="T15" i="2"/>
  <c r="N79" i="2" s="1"/>
  <c r="T19" i="2"/>
  <c r="R79" i="2" s="1"/>
  <c r="T23" i="2"/>
  <c r="V79" i="2" s="1"/>
  <c r="T8" i="2"/>
  <c r="G79" i="2" s="1"/>
  <c r="T12" i="2"/>
  <c r="K79" i="2" s="1"/>
  <c r="T16" i="2"/>
  <c r="O79" i="2" s="1"/>
  <c r="T20" i="2"/>
  <c r="S79" i="2" s="1"/>
  <c r="C79" i="2"/>
  <c r="O28" i="1"/>
  <c r="O70" i="1" s="1"/>
  <c r="C67" i="2" l="1"/>
  <c r="E7" i="2"/>
  <c r="E66" i="2"/>
  <c r="N8" i="2"/>
  <c r="X11" i="2"/>
  <c r="F48" i="2"/>
  <c r="F50" i="2" l="1"/>
  <c r="F49" i="2"/>
  <c r="E8" i="2"/>
  <c r="F66" i="2"/>
  <c r="N9" i="2"/>
  <c r="X12" i="2"/>
  <c r="F43" i="2" l="1"/>
  <c r="AP67" i="2" s="1"/>
  <c r="F39" i="2"/>
  <c r="AL67" i="2" s="1"/>
  <c r="F35" i="2"/>
  <c r="AH67" i="2" s="1"/>
  <c r="F31" i="2"/>
  <c r="AD67" i="2" s="1"/>
  <c r="F27" i="2"/>
  <c r="Z67" i="2" s="1"/>
  <c r="F42" i="2"/>
  <c r="AO67" i="2" s="1"/>
  <c r="F38" i="2"/>
  <c r="AK67" i="2" s="1"/>
  <c r="F34" i="2"/>
  <c r="AG67" i="2" s="1"/>
  <c r="F30" i="2"/>
  <c r="AC67" i="2" s="1"/>
  <c r="F26" i="2"/>
  <c r="Y67" i="2" s="1"/>
  <c r="F41" i="2"/>
  <c r="AN67" i="2" s="1"/>
  <c r="F37" i="2"/>
  <c r="AJ67" i="2" s="1"/>
  <c r="F33" i="2"/>
  <c r="AF67" i="2" s="1"/>
  <c r="F29" i="2"/>
  <c r="AB67" i="2" s="1"/>
  <c r="F25" i="2"/>
  <c r="X67" i="2" s="1"/>
  <c r="F40" i="2"/>
  <c r="AM67" i="2" s="1"/>
  <c r="F36" i="2"/>
  <c r="AI67" i="2" s="1"/>
  <c r="F32" i="2"/>
  <c r="AE67" i="2" s="1"/>
  <c r="F28" i="2"/>
  <c r="AA67" i="2" s="1"/>
  <c r="F24" i="2"/>
  <c r="W67" i="2" s="1"/>
  <c r="F22" i="2"/>
  <c r="U67" i="2" s="1"/>
  <c r="F18" i="2"/>
  <c r="Q67" i="2" s="1"/>
  <c r="F14" i="2"/>
  <c r="M67" i="2" s="1"/>
  <c r="F10" i="2"/>
  <c r="I67" i="2" s="1"/>
  <c r="F21" i="2"/>
  <c r="T67" i="2" s="1"/>
  <c r="F17" i="2"/>
  <c r="P67" i="2" s="1"/>
  <c r="F13" i="2"/>
  <c r="L67" i="2" s="1"/>
  <c r="F9" i="2"/>
  <c r="F20" i="2"/>
  <c r="S67" i="2" s="1"/>
  <c r="F16" i="2"/>
  <c r="O67" i="2" s="1"/>
  <c r="F12" i="2"/>
  <c r="K67" i="2" s="1"/>
  <c r="F23" i="2"/>
  <c r="V67" i="2" s="1"/>
  <c r="F19" i="2"/>
  <c r="R67" i="2" s="1"/>
  <c r="F15" i="2"/>
  <c r="N67" i="2" s="1"/>
  <c r="F11" i="2"/>
  <c r="J67" i="2" s="1"/>
  <c r="J43" i="2"/>
  <c r="AP71" i="2" s="1"/>
  <c r="J39" i="2"/>
  <c r="AL71" i="2" s="1"/>
  <c r="J35" i="2"/>
  <c r="AH71" i="2" s="1"/>
  <c r="J31" i="2"/>
  <c r="AD71" i="2" s="1"/>
  <c r="J27" i="2"/>
  <c r="Z71" i="2" s="1"/>
  <c r="J42" i="2"/>
  <c r="AO71" i="2" s="1"/>
  <c r="J38" i="2"/>
  <c r="AK71" i="2" s="1"/>
  <c r="J34" i="2"/>
  <c r="AG71" i="2" s="1"/>
  <c r="J30" i="2"/>
  <c r="AC71" i="2" s="1"/>
  <c r="J26" i="2"/>
  <c r="Y71" i="2" s="1"/>
  <c r="J41" i="2"/>
  <c r="AN71" i="2" s="1"/>
  <c r="J37" i="2"/>
  <c r="AJ71" i="2" s="1"/>
  <c r="J33" i="2"/>
  <c r="AF71" i="2" s="1"/>
  <c r="J29" i="2"/>
  <c r="AB71" i="2" s="1"/>
  <c r="J25" i="2"/>
  <c r="X71" i="2" s="1"/>
  <c r="J40" i="2"/>
  <c r="AM71" i="2" s="1"/>
  <c r="J36" i="2"/>
  <c r="AI71" i="2" s="1"/>
  <c r="J32" i="2"/>
  <c r="AE71" i="2" s="1"/>
  <c r="J28" i="2"/>
  <c r="AA71" i="2" s="1"/>
  <c r="J24" i="2"/>
  <c r="W71" i="2" s="1"/>
  <c r="J20" i="2"/>
  <c r="S71" i="2" s="1"/>
  <c r="J16" i="2"/>
  <c r="O71" i="2" s="1"/>
  <c r="J12" i="2"/>
  <c r="K71" i="2" s="1"/>
  <c r="J23" i="2"/>
  <c r="V71" i="2" s="1"/>
  <c r="J19" i="2"/>
  <c r="R71" i="2" s="1"/>
  <c r="J15" i="2"/>
  <c r="N71" i="2" s="1"/>
  <c r="J11" i="2"/>
  <c r="J71" i="2" s="1"/>
  <c r="J22" i="2"/>
  <c r="U71" i="2" s="1"/>
  <c r="J18" i="2"/>
  <c r="Q71" i="2" s="1"/>
  <c r="J14" i="2"/>
  <c r="M71" i="2" s="1"/>
  <c r="J10" i="2"/>
  <c r="I71" i="2" s="1"/>
  <c r="J21" i="2"/>
  <c r="T71" i="2" s="1"/>
  <c r="J17" i="2"/>
  <c r="P71" i="2" s="1"/>
  <c r="J13" i="2"/>
  <c r="L71" i="2" s="1"/>
  <c r="J9" i="2"/>
  <c r="H71" i="2" s="1"/>
  <c r="D71" i="2"/>
  <c r="D3" i="3"/>
  <c r="F71" i="2"/>
  <c r="C71" i="2"/>
  <c r="E71" i="2"/>
  <c r="G71" i="2"/>
  <c r="E9" i="2"/>
  <c r="G66" i="2"/>
  <c r="N10" i="2"/>
  <c r="X13" i="2"/>
  <c r="H67" i="2" l="1"/>
  <c r="E10" i="2"/>
  <c r="H66" i="2"/>
  <c r="N11" i="2"/>
  <c r="X14" i="2"/>
  <c r="E11" i="2" l="1"/>
  <c r="I66" i="2"/>
  <c r="N12" i="2"/>
  <c r="X15" i="2"/>
  <c r="E12" i="2" l="1"/>
  <c r="J66" i="2"/>
  <c r="N13" i="2"/>
  <c r="X16" i="2"/>
  <c r="E13" i="2" l="1"/>
  <c r="K66" i="2"/>
  <c r="N14" i="2"/>
  <c r="X17" i="2"/>
  <c r="E14" i="2" l="1"/>
  <c r="L66" i="2"/>
  <c r="N15" i="2"/>
  <c r="X18" i="2"/>
  <c r="E15" i="2" l="1"/>
  <c r="M66" i="2"/>
  <c r="N16" i="2"/>
  <c r="X19" i="2"/>
  <c r="E16" i="2" l="1"/>
  <c r="N66" i="2"/>
  <c r="N17" i="2"/>
  <c r="X20" i="2"/>
  <c r="E17" i="2" l="1"/>
  <c r="O66" i="2"/>
  <c r="N18" i="2"/>
  <c r="X21" i="2"/>
  <c r="E18" i="2" l="1"/>
  <c r="P66" i="2"/>
  <c r="N19" i="2"/>
  <c r="X22" i="2"/>
  <c r="E19" i="2" l="1"/>
  <c r="Q66" i="2"/>
  <c r="N20" i="2"/>
  <c r="X23" i="2"/>
  <c r="E20" i="2" l="1"/>
  <c r="R66" i="2"/>
  <c r="N21" i="2"/>
  <c r="X24" i="2"/>
  <c r="E21" i="2" l="1"/>
  <c r="S66" i="2"/>
  <c r="N22" i="2"/>
  <c r="X25" i="2"/>
  <c r="E22" i="2" l="1"/>
  <c r="T66" i="2"/>
  <c r="N23" i="2"/>
  <c r="X26" i="2"/>
  <c r="E23" i="2" l="1"/>
  <c r="U66" i="2"/>
  <c r="N24" i="2"/>
  <c r="X27" i="2"/>
  <c r="V66" i="2" l="1"/>
  <c r="E24" i="2"/>
  <c r="N25" i="2"/>
  <c r="X28" i="2"/>
  <c r="E25" i="2" l="1"/>
  <c r="W66" i="2"/>
  <c r="N26" i="2"/>
  <c r="X29" i="2"/>
  <c r="E26" i="2" l="1"/>
  <c r="X66" i="2"/>
  <c r="N27" i="2"/>
  <c r="X30" i="2"/>
  <c r="E27" i="2" l="1"/>
  <c r="Y66" i="2"/>
  <c r="N28" i="2"/>
  <c r="X31" i="2"/>
  <c r="E28" i="2" l="1"/>
  <c r="Z66" i="2"/>
  <c r="N29" i="2"/>
  <c r="X32" i="2"/>
  <c r="E29" i="2" l="1"/>
  <c r="AA66" i="2"/>
  <c r="N30" i="2"/>
  <c r="X33" i="2"/>
  <c r="E30" i="2" l="1"/>
  <c r="AB66" i="2"/>
  <c r="N31" i="2"/>
  <c r="X34" i="2"/>
  <c r="E31" i="2" l="1"/>
  <c r="AC66" i="2"/>
  <c r="N32" i="2"/>
  <c r="X35" i="2"/>
  <c r="E32" i="2" l="1"/>
  <c r="AD66" i="2"/>
  <c r="N33" i="2"/>
  <c r="X36" i="2"/>
  <c r="E33" i="2" l="1"/>
  <c r="AE66" i="2"/>
  <c r="N34" i="2"/>
  <c r="X37" i="2"/>
  <c r="E34" i="2" l="1"/>
  <c r="AF66" i="2"/>
  <c r="N35" i="2"/>
  <c r="X38" i="2"/>
  <c r="A63" i="2" l="1"/>
  <c r="A58" i="2"/>
  <c r="A61" i="2"/>
  <c r="E35" i="2"/>
  <c r="AG66" i="2"/>
  <c r="N36" i="2"/>
  <c r="X39" i="2"/>
  <c r="A55" i="2" l="1"/>
  <c r="A86" i="2"/>
  <c r="A57" i="2"/>
  <c r="A54" i="2"/>
  <c r="A62" i="2"/>
  <c r="A60" i="2"/>
  <c r="A59" i="2"/>
  <c r="A56" i="2"/>
  <c r="E36" i="2"/>
  <c r="AH66" i="2"/>
  <c r="N37" i="2"/>
  <c r="X40" i="2"/>
  <c r="T32" i="1"/>
  <c r="E37" i="2" l="1"/>
  <c r="AI66" i="2"/>
  <c r="N38" i="2"/>
  <c r="X41" i="2"/>
  <c r="T51" i="1"/>
  <c r="T30" i="1"/>
  <c r="E38" i="2" l="1"/>
  <c r="AJ66" i="2"/>
  <c r="N39" i="2"/>
  <c r="X42" i="2"/>
  <c r="E39" i="2" l="1"/>
  <c r="AK66" i="2"/>
  <c r="N40" i="2"/>
  <c r="X43" i="2"/>
  <c r="E60" i="2" l="1"/>
  <c r="E63" i="2"/>
  <c r="E56" i="2"/>
  <c r="E55" i="2"/>
  <c r="E58" i="2"/>
  <c r="E59" i="2"/>
  <c r="E57" i="2"/>
  <c r="E61" i="2"/>
  <c r="E62" i="2"/>
  <c r="E54" i="2"/>
  <c r="E40" i="2"/>
  <c r="AL66" i="2"/>
  <c r="N41" i="2"/>
  <c r="X44" i="2"/>
  <c r="Z43" i="1"/>
  <c r="X24" i="1"/>
  <c r="X51" i="1"/>
  <c r="Y43" i="1"/>
  <c r="X23" i="1"/>
  <c r="T43" i="1"/>
  <c r="X43" i="1"/>
  <c r="X32" i="1"/>
  <c r="X30" i="1"/>
  <c r="X33" i="1" l="1"/>
  <c r="X31" i="1"/>
  <c r="X34" i="1"/>
  <c r="X35" i="1" s="1"/>
  <c r="E41" i="2"/>
  <c r="AM66" i="2"/>
  <c r="N42" i="2"/>
  <c r="X45" i="2"/>
  <c r="AA43" i="1"/>
  <c r="E42" i="2" l="1"/>
  <c r="AN66" i="2"/>
  <c r="N43" i="2"/>
  <c r="E43" i="2" l="1"/>
  <c r="AP66" i="2" s="1"/>
  <c r="AO66" i="2"/>
  <c r="T23" i="1"/>
  <c r="T34" i="1" l="1"/>
  <c r="T35" i="1" s="1"/>
  <c r="T33" i="1"/>
  <c r="T31" i="1"/>
  <c r="T24" i="1"/>
  <c r="O55" i="2" l="1"/>
  <c r="O57" i="2" s="1"/>
  <c r="T45" i="1" l="1"/>
  <c r="X45" i="1"/>
  <c r="Q54" i="2"/>
  <c r="Q56" i="2" s="1"/>
  <c r="Q57" i="2" s="1"/>
  <c r="U36" i="2" l="1"/>
  <c r="U40" i="2"/>
  <c r="U38" i="2"/>
  <c r="U42" i="2"/>
  <c r="U39" i="2"/>
  <c r="U43" i="2"/>
  <c r="U37" i="2"/>
  <c r="U41" i="2"/>
  <c r="U26" i="2"/>
  <c r="Y73" i="2" s="1"/>
  <c r="U30" i="2"/>
  <c r="W30" i="2" s="1"/>
  <c r="U34" i="2"/>
  <c r="U27" i="2"/>
  <c r="W27" i="2" s="1"/>
  <c r="U31" i="2"/>
  <c r="W31" i="2" s="1"/>
  <c r="U35" i="2"/>
  <c r="U28" i="2"/>
  <c r="W28" i="2" s="1"/>
  <c r="U32" i="2"/>
  <c r="AE80" i="2" s="1"/>
  <c r="U29" i="2"/>
  <c r="AB73" i="2" s="1"/>
  <c r="U33" i="2"/>
  <c r="W33" i="2" s="1"/>
  <c r="U7" i="2"/>
  <c r="F80" i="2" s="1"/>
  <c r="U11" i="2"/>
  <c r="J80" i="2" s="1"/>
  <c r="U15" i="2"/>
  <c r="N80" i="2" s="1"/>
  <c r="U19" i="2"/>
  <c r="W19" i="2" s="1"/>
  <c r="U23" i="2"/>
  <c r="V73" i="2" s="1"/>
  <c r="U8" i="2"/>
  <c r="G73" i="2" s="1"/>
  <c r="U12" i="2"/>
  <c r="K73" i="2" s="1"/>
  <c r="U16" i="2"/>
  <c r="W16" i="2" s="1"/>
  <c r="U20" i="2"/>
  <c r="W20" i="2" s="1"/>
  <c r="U24" i="2"/>
  <c r="W73" i="2" s="1"/>
  <c r="U6" i="2"/>
  <c r="E73" i="2" s="1"/>
  <c r="U9" i="2"/>
  <c r="H73" i="2" s="1"/>
  <c r="U13" i="2"/>
  <c r="W13" i="2" s="1"/>
  <c r="U17" i="2"/>
  <c r="P73" i="2" s="1"/>
  <c r="U21" i="2"/>
  <c r="T73" i="2" s="1"/>
  <c r="U25" i="2"/>
  <c r="W25" i="2" s="1"/>
  <c r="U10" i="2"/>
  <c r="I80" i="2" s="1"/>
  <c r="U14" i="2"/>
  <c r="W14" i="2" s="1"/>
  <c r="U18" i="2"/>
  <c r="W18" i="2" s="1"/>
  <c r="U22" i="2"/>
  <c r="U73" i="2" s="1"/>
  <c r="C80" i="2"/>
  <c r="C73" i="2"/>
  <c r="D73" i="2"/>
  <c r="D80" i="2"/>
  <c r="X44" i="1"/>
  <c r="Y44" i="1"/>
  <c r="T44" i="1"/>
  <c r="AA44" i="1"/>
  <c r="Z44" i="1"/>
  <c r="W15" i="2" l="1"/>
  <c r="N82" i="2" s="1"/>
  <c r="G80" i="2"/>
  <c r="W26" i="2"/>
  <c r="H26" i="2" s="1"/>
  <c r="W29" i="2"/>
  <c r="H29" i="2" s="1"/>
  <c r="Z73" i="2"/>
  <c r="W11" i="2"/>
  <c r="H11" i="2" s="1"/>
  <c r="W24" i="2"/>
  <c r="W82" i="2" s="1"/>
  <c r="M73" i="2"/>
  <c r="W23" i="2"/>
  <c r="V82" i="2" s="1"/>
  <c r="P80" i="2"/>
  <c r="W8" i="2"/>
  <c r="G82" i="2" s="1"/>
  <c r="AE73" i="2"/>
  <c r="AN80" i="2"/>
  <c r="W41" i="2"/>
  <c r="AN73" i="2"/>
  <c r="AO80" i="2"/>
  <c r="W42" i="2"/>
  <c r="AO73" i="2"/>
  <c r="J73" i="2"/>
  <c r="M80" i="2"/>
  <c r="W80" i="2"/>
  <c r="W32" i="2"/>
  <c r="AE82" i="2" s="1"/>
  <c r="X73" i="2"/>
  <c r="AJ80" i="2"/>
  <c r="AJ73" i="2"/>
  <c r="W37" i="2"/>
  <c r="AK73" i="2"/>
  <c r="W38" i="2"/>
  <c r="AK80" i="2"/>
  <c r="AP80" i="2"/>
  <c r="W43" i="2"/>
  <c r="AP73" i="2"/>
  <c r="AM80" i="2"/>
  <c r="W40" i="2"/>
  <c r="AM73" i="2"/>
  <c r="W17" i="2"/>
  <c r="H17" i="2" s="1"/>
  <c r="R80" i="2"/>
  <c r="Z80" i="2"/>
  <c r="AL80" i="2"/>
  <c r="W39" i="2"/>
  <c r="AL73" i="2"/>
  <c r="W36" i="2"/>
  <c r="AI73" i="2"/>
  <c r="AI80" i="2"/>
  <c r="S73" i="2"/>
  <c r="L73" i="2"/>
  <c r="F73" i="2"/>
  <c r="I73" i="2"/>
  <c r="AD73" i="2"/>
  <c r="V80" i="2"/>
  <c r="L80" i="2"/>
  <c r="S80" i="2"/>
  <c r="AA73" i="2"/>
  <c r="W7" i="2"/>
  <c r="F82" i="2" s="1"/>
  <c r="W10" i="2"/>
  <c r="I82" i="2" s="1"/>
  <c r="AA80" i="2"/>
  <c r="O73" i="2"/>
  <c r="W22" i="2"/>
  <c r="U82" i="2" s="1"/>
  <c r="AD80" i="2"/>
  <c r="AH73" i="2"/>
  <c r="AH80" i="2"/>
  <c r="W35" i="2"/>
  <c r="W9" i="2"/>
  <c r="H82" i="2" s="1"/>
  <c r="O80" i="2"/>
  <c r="U80" i="2"/>
  <c r="R73" i="2"/>
  <c r="AC80" i="2"/>
  <c r="AF80" i="2"/>
  <c r="H80" i="2"/>
  <c r="E80" i="2"/>
  <c r="T80" i="2"/>
  <c r="Y80" i="2"/>
  <c r="AC73" i="2"/>
  <c r="AB80" i="2"/>
  <c r="X80" i="2"/>
  <c r="AF73" i="2"/>
  <c r="Q73" i="2"/>
  <c r="W12" i="2"/>
  <c r="K82" i="2" s="1"/>
  <c r="AG73" i="2"/>
  <c r="AG80" i="2"/>
  <c r="W34" i="2"/>
  <c r="W6" i="2"/>
  <c r="E82" i="2" s="1"/>
  <c r="W21" i="2"/>
  <c r="H21" i="2" s="1"/>
  <c r="Q80" i="2"/>
  <c r="N73" i="2"/>
  <c r="K80" i="2"/>
  <c r="AC82" i="2"/>
  <c r="H30" i="2"/>
  <c r="Z82" i="2"/>
  <c r="H27" i="2"/>
  <c r="X82" i="2"/>
  <c r="H25" i="2"/>
  <c r="AF82" i="2"/>
  <c r="H33" i="2"/>
  <c r="Y82" i="2"/>
  <c r="AB82" i="2"/>
  <c r="AA82" i="2"/>
  <c r="H28" i="2"/>
  <c r="AD82" i="2"/>
  <c r="H31" i="2"/>
  <c r="O82" i="2"/>
  <c r="H16" i="2"/>
  <c r="Q82" i="2"/>
  <c r="H18" i="2"/>
  <c r="R82" i="2"/>
  <c r="H19" i="2"/>
  <c r="D82" i="2"/>
  <c r="H5" i="2"/>
  <c r="M82" i="2"/>
  <c r="H14" i="2"/>
  <c r="L82" i="2"/>
  <c r="H13" i="2"/>
  <c r="C82" i="2"/>
  <c r="H4" i="2"/>
  <c r="S82" i="2"/>
  <c r="H20" i="2"/>
  <c r="T46" i="1"/>
  <c r="X46" i="1"/>
  <c r="H24" i="2" l="1"/>
  <c r="I24" i="2" s="1"/>
  <c r="W70" i="2" s="1"/>
  <c r="H15" i="2"/>
  <c r="N69" i="2" s="1"/>
  <c r="H10" i="2"/>
  <c r="I10" i="2" s="1"/>
  <c r="I70" i="2" s="1"/>
  <c r="J82" i="2"/>
  <c r="H32" i="2"/>
  <c r="I32" i="2" s="1"/>
  <c r="AE70" i="2" s="1"/>
  <c r="H23" i="2"/>
  <c r="I23" i="2" s="1"/>
  <c r="V70" i="2" s="1"/>
  <c r="P82" i="2"/>
  <c r="H9" i="2"/>
  <c r="H69" i="2" s="1"/>
  <c r="H8" i="2"/>
  <c r="G69" i="2" s="1"/>
  <c r="AL82" i="2"/>
  <c r="H39" i="2"/>
  <c r="AK82" i="2"/>
  <c r="H38" i="2"/>
  <c r="AP82" i="2"/>
  <c r="H43" i="2"/>
  <c r="AI82" i="2"/>
  <c r="H36" i="2"/>
  <c r="AM82" i="2"/>
  <c r="H40" i="2"/>
  <c r="AJ82" i="2"/>
  <c r="H37" i="2"/>
  <c r="AN82" i="2"/>
  <c r="H41" i="2"/>
  <c r="H12" i="2"/>
  <c r="K69" i="2" s="1"/>
  <c r="AO82" i="2"/>
  <c r="H42" i="2"/>
  <c r="H6" i="2"/>
  <c r="E69" i="2" s="1"/>
  <c r="H22" i="2"/>
  <c r="U69" i="2" s="1"/>
  <c r="H7" i="2"/>
  <c r="I7" i="2" s="1"/>
  <c r="F70" i="2" s="1"/>
  <c r="T82" i="2"/>
  <c r="AG82" i="2"/>
  <c r="H34" i="2"/>
  <c r="AH82" i="2"/>
  <c r="H35" i="2"/>
  <c r="X47" i="1"/>
  <c r="X48" i="1" s="1"/>
  <c r="T47" i="1"/>
  <c r="T48" i="1" s="1"/>
  <c r="I28" i="2"/>
  <c r="AA70" i="2" s="1"/>
  <c r="AA69" i="2"/>
  <c r="I26" i="2"/>
  <c r="Y70" i="2" s="1"/>
  <c r="Y69" i="2"/>
  <c r="I30" i="2"/>
  <c r="AC70" i="2" s="1"/>
  <c r="AC69" i="2"/>
  <c r="I31" i="2"/>
  <c r="AD70" i="2" s="1"/>
  <c r="AD69" i="2"/>
  <c r="I29" i="2"/>
  <c r="AB70" i="2" s="1"/>
  <c r="AB69" i="2"/>
  <c r="I33" i="2"/>
  <c r="AF70" i="2" s="1"/>
  <c r="AF69" i="2"/>
  <c r="I27" i="2"/>
  <c r="Z70" i="2" s="1"/>
  <c r="Z69" i="2"/>
  <c r="I25" i="2"/>
  <c r="X70" i="2" s="1"/>
  <c r="X69" i="2"/>
  <c r="S69" i="2"/>
  <c r="I20" i="2"/>
  <c r="S70" i="2" s="1"/>
  <c r="T69" i="2"/>
  <c r="I21" i="2"/>
  <c r="T70" i="2" s="1"/>
  <c r="C69" i="2"/>
  <c r="I4" i="2"/>
  <c r="C70" i="2" s="1"/>
  <c r="P69" i="2"/>
  <c r="I17" i="2"/>
  <c r="P70" i="2" s="1"/>
  <c r="L69" i="2"/>
  <c r="I13" i="2"/>
  <c r="L70" i="2" s="1"/>
  <c r="I14" i="2"/>
  <c r="M70" i="2" s="1"/>
  <c r="M69" i="2"/>
  <c r="D69" i="2"/>
  <c r="I5" i="2"/>
  <c r="D70" i="2" s="1"/>
  <c r="I11" i="2"/>
  <c r="J70" i="2" s="1"/>
  <c r="J69" i="2"/>
  <c r="I19" i="2"/>
  <c r="R70" i="2" s="1"/>
  <c r="R69" i="2"/>
  <c r="Q69" i="2"/>
  <c r="I18" i="2"/>
  <c r="Q70" i="2" s="1"/>
  <c r="O69" i="2"/>
  <c r="I16" i="2"/>
  <c r="O70" i="2" s="1"/>
  <c r="T26" i="1"/>
  <c r="X50" i="1"/>
  <c r="T25" i="1"/>
  <c r="X26" i="1"/>
  <c r="X25" i="1"/>
  <c r="T50" i="1"/>
  <c r="I69" i="2" l="1"/>
  <c r="I15" i="2"/>
  <c r="N70" i="2" s="1"/>
  <c r="W69" i="2"/>
  <c r="I8" i="2"/>
  <c r="G70" i="2" s="1"/>
  <c r="V69" i="2"/>
  <c r="F69" i="2"/>
  <c r="AE69" i="2"/>
  <c r="I12" i="2"/>
  <c r="K70" i="2" s="1"/>
  <c r="I9" i="2"/>
  <c r="H70" i="2" s="1"/>
  <c r="I37" i="2"/>
  <c r="AJ70" i="2" s="1"/>
  <c r="AJ69" i="2"/>
  <c r="I36" i="2"/>
  <c r="AI70" i="2" s="1"/>
  <c r="AI69" i="2"/>
  <c r="I38" i="2"/>
  <c r="AK70" i="2" s="1"/>
  <c r="AK69" i="2"/>
  <c r="I41" i="2"/>
  <c r="AN70" i="2" s="1"/>
  <c r="AN69" i="2"/>
  <c r="I40" i="2"/>
  <c r="AM70" i="2" s="1"/>
  <c r="AM69" i="2"/>
  <c r="I43" i="2"/>
  <c r="AP70" i="2" s="1"/>
  <c r="AP69" i="2"/>
  <c r="I39" i="2"/>
  <c r="AL70" i="2" s="1"/>
  <c r="AL69" i="2"/>
  <c r="AO69" i="2"/>
  <c r="I42" i="2"/>
  <c r="AO70" i="2" s="1"/>
  <c r="I6" i="2"/>
  <c r="E70" i="2" s="1"/>
  <c r="I22" i="2"/>
  <c r="U70" i="2" s="1"/>
  <c r="I34" i="2"/>
  <c r="AG70" i="2" s="1"/>
  <c r="AG69" i="2"/>
  <c r="I35" i="2"/>
  <c r="AH70" i="2" s="1"/>
  <c r="AH69" i="2"/>
  <c r="X27" i="1"/>
  <c r="X28" i="1"/>
  <c r="T27" i="1"/>
  <c r="T28" i="1"/>
</calcChain>
</file>

<file path=xl/comments1.xml><?xml version="1.0" encoding="utf-8"?>
<comments xmlns="http://schemas.openxmlformats.org/spreadsheetml/2006/main">
  <authors>
    <author>Mobile Beej</author>
  </authors>
  <commentList>
    <comment ref="J8" authorId="0" shapeId="0">
      <text>
        <r>
          <rPr>
            <b/>
            <sz val="9"/>
            <color indexed="81"/>
            <rFont val="Tahoma"/>
            <family val="2"/>
          </rPr>
          <t>Project Note:</t>
        </r>
        <r>
          <rPr>
            <sz val="9"/>
            <color indexed="81"/>
            <rFont val="Tahoma"/>
            <family val="2"/>
          </rPr>
          <t xml:space="preserve">
Reduced irrigation will not occur in the first 5 years.</t>
        </r>
      </text>
    </comment>
  </commentList>
</comments>
</file>

<file path=xl/sharedStrings.xml><?xml version="1.0" encoding="utf-8"?>
<sst xmlns="http://schemas.openxmlformats.org/spreadsheetml/2006/main" count="269" uniqueCount="233">
  <si>
    <t>Agriculture</t>
  </si>
  <si>
    <t>Field Crops</t>
  </si>
  <si>
    <t>Ranching</t>
  </si>
  <si>
    <t>2. Define Framework</t>
  </si>
  <si>
    <t>Use county defaults for crops, water, fertilize, prices, etc.</t>
  </si>
  <si>
    <t>OR</t>
  </si>
  <si>
    <t>Choose your activity</t>
  </si>
  <si>
    <t>Choose your options</t>
  </si>
  <si>
    <t>Yield</t>
  </si>
  <si>
    <t>Net Returns Difference</t>
  </si>
  <si>
    <t>Applied Groundwater</t>
  </si>
  <si>
    <t>Energy profit</t>
  </si>
  <si>
    <t>Total</t>
  </si>
  <si>
    <t># wind turbines in farm</t>
  </si>
  <si>
    <t>MW/turbine</t>
  </si>
  <si>
    <t>Output per turbine MWH/year</t>
  </si>
  <si>
    <t>For all turbines</t>
  </si>
  <si>
    <t xml:space="preserve"> Worth per KWH</t>
  </si>
  <si>
    <t>Energy sales</t>
  </si>
  <si>
    <t>Loan payment</t>
  </si>
  <si>
    <t>O&amp;M</t>
  </si>
  <si>
    <t>hours/day</t>
  </si>
  <si>
    <t>days a year</t>
  </si>
  <si>
    <t>production rate relative to 2MW rating</t>
  </si>
  <si>
    <t>Ruth said should be 45% for this area</t>
  </si>
  <si>
    <t>Principle</t>
  </si>
  <si>
    <t>Yes</t>
  </si>
  <si>
    <t>No</t>
  </si>
  <si>
    <t>http://www.ifsautoloans.com/car-loan-interest/</t>
  </si>
  <si>
    <t>Denominator</t>
  </si>
  <si>
    <t>Wind and Solar Energy</t>
  </si>
  <si>
    <t>Year</t>
  </si>
  <si>
    <t>Profit Chart</t>
  </si>
  <si>
    <t>Drop Down Validation</t>
  </si>
  <si>
    <t>Wind Energy Return Calculations</t>
  </si>
  <si>
    <t>Assumptions</t>
  </si>
  <si>
    <t>Production Rate</t>
  </si>
  <si>
    <t>Operating Time</t>
  </si>
  <si>
    <t>Maintenance</t>
  </si>
  <si>
    <t>Maintenance per year/per MW</t>
  </si>
  <si>
    <t>Grid Connection</t>
  </si>
  <si>
    <t>Per turbine</t>
  </si>
  <si>
    <t>Cost per turbine</t>
  </si>
  <si>
    <t>Loan Calculations</t>
  </si>
  <si>
    <t>Interest Rate (from sheet)</t>
  </si>
  <si>
    <t>Turbine Cost * # from sheet</t>
  </si>
  <si>
    <t>Grid Cost * # from sheet</t>
  </si>
  <si>
    <t>Loan months (years from sheet * 12)</t>
  </si>
  <si>
    <t>Numerator (Interest/12)*Prin)</t>
  </si>
  <si>
    <t>Result (Monthly Payment)</t>
  </si>
  <si>
    <t>Formula drawn from</t>
  </si>
  <si>
    <t>Estimated return based on reduction</t>
  </si>
  <si>
    <t>New irrigation rate</t>
  </si>
  <si>
    <t>Energy Profit</t>
  </si>
  <si>
    <t>Crops (Reduced Irr.)</t>
  </si>
  <si>
    <t>Energy Sales Price per KWH</t>
  </si>
  <si>
    <t>Solar Panels</t>
  </si>
  <si>
    <t>Turbines</t>
  </si>
  <si>
    <t>Buy</t>
  </si>
  <si>
    <t>Lease</t>
  </si>
  <si>
    <t>Land Lease</t>
  </si>
  <si>
    <t>Solar map</t>
  </si>
  <si>
    <t>Water</t>
  </si>
  <si>
    <t>Groundwater</t>
  </si>
  <si>
    <t>Surface Water</t>
  </si>
  <si>
    <t>Select irrigation water source</t>
  </si>
  <si>
    <t>HPA map from KGS</t>
  </si>
  <si>
    <t>Stories from your region</t>
  </si>
  <si>
    <t>ARC/PLC menu</t>
  </si>
  <si>
    <t>Crop insurance menu</t>
  </si>
  <si>
    <t>Wind production rate</t>
  </si>
  <si>
    <t>Grid absorption capability</t>
  </si>
  <si>
    <t>Annual Payment</t>
  </si>
  <si>
    <t>Drought Function</t>
  </si>
  <si>
    <t>Drought Severity</t>
  </si>
  <si>
    <t>Mild</t>
  </si>
  <si>
    <t>Medium</t>
  </si>
  <si>
    <t>Severe</t>
  </si>
  <si>
    <t>Drought Probability</t>
  </si>
  <si>
    <t>Report</t>
  </si>
  <si>
    <t>Crops (Norm Irr.)</t>
  </si>
  <si>
    <t>Crop Yield (Normal Irr.) in bushels</t>
  </si>
  <si>
    <t>Crop Yield (Reduced Irr.)</t>
  </si>
  <si>
    <t>Chart Time Options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</si>
  <si>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</si>
  <si>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</si>
  <si>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</si>
  <si>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</si>
  <si>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</si>
  <si>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</si>
  <si>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</si>
  <si>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</si>
  <si>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</si>
  <si>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</si>
  <si>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</si>
  <si>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</si>
  <si>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</si>
  <si>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</si>
  <si>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</si>
  <si>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</si>
  <si>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</si>
  <si>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</si>
  <si>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</si>
  <si>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</si>
  <si>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</si>
  <si>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</si>
  <si>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</si>
  <si>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</si>
  <si>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P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</si>
  <si>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</si>
  <si>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</si>
  <si>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</si>
  <si>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</si>
  <si>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</si>
  <si>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</si>
  <si>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</si>
  <si>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</si>
  <si>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</si>
  <si>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</si>
  <si>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</si>
  <si>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</si>
  <si>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</si>
  <si>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</si>
  <si>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</si>
  <si>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Minimum range is 2017, Maximum range is 2056</t>
  </si>
  <si>
    <t>Bushels (Norm Irr.)</t>
  </si>
  <si>
    <t>Yield (Reduced Irr.)</t>
  </si>
  <si>
    <t>Yield (Norm Irr.)</t>
  </si>
  <si>
    <t>Estimated return based on normal irrigation applied</t>
  </si>
  <si>
    <t>Estimated yield based on normal irrigation applied</t>
  </si>
  <si>
    <t>Estimated yield based on reduction</t>
  </si>
  <si>
    <t>Bushels (Reduced Irr.)</t>
  </si>
  <si>
    <t>Beginning Year</t>
  </si>
  <si>
    <t>End Year</t>
  </si>
  <si>
    <t>Total Amount Borrowed</t>
  </si>
  <si>
    <t>Loan Cost</t>
  </si>
  <si>
    <t>Total O&amp;M costs (for date range)</t>
  </si>
  <si>
    <t>Loan and O&amp;M costs subtotal (for date range)</t>
  </si>
  <si>
    <t>Total energy sales (for date range)</t>
  </si>
  <si>
    <t>Is a grid connection needed?</t>
  </si>
  <si>
    <t>Climate</t>
  </si>
  <si>
    <t>Average precipitation rate</t>
  </si>
  <si>
    <t>Average temperature change in °F</t>
  </si>
  <si>
    <t>The drought potential parameter may be adjusted from 10%-100%. The drought is calculated by reducing available irrigation water. Mild drought is 3 inches, medium is 5, and severe is 9.</t>
  </si>
  <si>
    <t>The prototype does not allow the user to increase irrigation rates to combat drought.</t>
  </si>
  <si>
    <t>Total income is calculated by adding net reduced irrigation cropping to net energy sales.</t>
  </si>
  <si>
    <t>The following are assumed</t>
  </si>
  <si>
    <t>A five year phase in period for irrigation reduction.</t>
  </si>
  <si>
    <t>Wind power generation begins in 2017. This cannot be adjusted in the prototype.</t>
  </si>
  <si>
    <t>The wind production rate (the amount of time the turbine is generating electricity is 45%, a typical value for western Kansas.</t>
  </si>
  <si>
    <t>Energy starts year 1 of the defined period</t>
  </si>
  <si>
    <r>
      <t xml:space="preserve">Climate assumptions                                                                </t>
    </r>
    <r>
      <rPr>
        <sz val="14"/>
        <color theme="1"/>
        <rFont val="Calibri"/>
        <family val="2"/>
        <scheme val="minor"/>
      </rPr>
      <t xml:space="preserve">If temperature increases, precipitation must increase for the same drought probabilities to occur. </t>
    </r>
  </si>
  <si>
    <t>Average precipitation rate change to 2056</t>
  </si>
  <si>
    <t>The values in the climate section are not linked to calculations.</t>
  </si>
  <si>
    <t>The electrical grid can absorb all electricity generated.</t>
  </si>
  <si>
    <t>No federal production tax credit is assumed. This would be 30% of the cost, so can be in the millions of dollars.</t>
  </si>
  <si>
    <t>Often outside financial institutions capable of absorbing such a federal tax credit will partner with landowners. The take the tax credit and help pay for the energy generation facility.</t>
  </si>
  <si>
    <t xml:space="preserve">Rainfall of 14 inches is used with Bill Golden's crop yield data.         </t>
  </si>
  <si>
    <t>This model assumes that, if temperature increases then precipitation must increase to achieve same yield if irrigation rate is held constant.</t>
  </si>
  <si>
    <t xml:space="preserve">Phase in period for irrigation change (years): </t>
  </si>
  <si>
    <t>Number of 2MW turbines to install</t>
  </si>
  <si>
    <t>Changes applicable for the end year defined in Agriculture column 3.</t>
  </si>
  <si>
    <t>3. Make Choices and Get Data from Web</t>
  </si>
  <si>
    <t>Corn Production Data</t>
  </si>
  <si>
    <t>Do not modify this area</t>
  </si>
  <si>
    <t>Mild = 3 inches</t>
  </si>
  <si>
    <t xml:space="preserve"> Medium = 5 inches </t>
  </si>
  <si>
    <t>Severe = 9 inches</t>
  </si>
  <si>
    <t>Ag (Reduced Irr.)</t>
  </si>
  <si>
    <t>Ag (Norm Irr.)</t>
  </si>
  <si>
    <t>Energy</t>
  </si>
  <si>
    <t>Operation and Maintenance per year per MW</t>
  </si>
  <si>
    <t>Length of loan term, in years</t>
  </si>
  <si>
    <t>Wind speed</t>
  </si>
  <si>
    <t>Consequences for crop production graphs will be included here in the web version.</t>
  </si>
  <si>
    <t>More about the consequences for groundwater levels and aquifer viability will be included here in the web version.</t>
  </si>
  <si>
    <t xml:space="preserve">Normal irrigation (total bushels) </t>
  </si>
  <si>
    <t>Reduced irrigation (total bushels)</t>
  </si>
  <si>
    <t>Difference (normal - reduced yields) (total bushels)</t>
  </si>
  <si>
    <t>Annual Average Crop Production</t>
  </si>
  <si>
    <t>Annual Average Crop Profit</t>
  </si>
  <si>
    <t>Normal irrigation (total acres)</t>
  </si>
  <si>
    <t>Reduced irrigation (total acres)</t>
  </si>
  <si>
    <t>Maintenance and operating costs will increase by $100,000 per turbine per year after 20 years.</t>
  </si>
  <si>
    <t>Energy Sales</t>
  </si>
  <si>
    <t xml:space="preserve">                        Increase to O&amp;M Cost after 20 years</t>
  </si>
  <si>
    <t xml:space="preserve">                        Grid connection cost, per turbine</t>
  </si>
  <si>
    <t xml:space="preserve">                        Cost per turbine</t>
  </si>
  <si>
    <t>Aquifer effective porosity</t>
  </si>
  <si>
    <t>Choose via Crop Water Allocator (run by the user)
from KSU</t>
  </si>
  <si>
    <t>Drought years are redetermined each time the sheet refreshes.</t>
  </si>
  <si>
    <t>Default date range is 2017-2046</t>
  </si>
  <si>
    <t>Select Crop</t>
  </si>
  <si>
    <t>Corn</t>
  </si>
  <si>
    <t>Milo</t>
  </si>
  <si>
    <t>Wheat</t>
  </si>
  <si>
    <t>Cotton</t>
  </si>
  <si>
    <t xml:space="preserve">                        Interest rate</t>
  </si>
  <si>
    <t xml:space="preserve">                        (bu/acre)</t>
  </si>
  <si>
    <t>4. Consequences</t>
  </si>
  <si>
    <t xml:space="preserve">                        (per acre)</t>
  </si>
  <si>
    <t xml:space="preserve">                         (per acre)</t>
  </si>
  <si>
    <t>Energy net profit (for date range)</t>
  </si>
  <si>
    <t>Net income (energy + crops)</t>
  </si>
  <si>
    <t>Inches of water saved over time period</t>
  </si>
  <si>
    <t>Results obtained from gw model</t>
  </si>
  <si>
    <t xml:space="preserve">                            Reduction (percentage)</t>
  </si>
  <si>
    <t xml:space="preserve">                               (bu/acre)</t>
  </si>
  <si>
    <r>
      <rPr>
        <b/>
        <sz val="14"/>
        <color theme="1"/>
        <rFont val="Calibri"/>
        <family val="2"/>
        <scheme val="minor"/>
      </rPr>
      <t>Irrigation</t>
    </r>
    <r>
      <rPr>
        <sz val="14"/>
        <color theme="1"/>
        <rFont val="Calibri"/>
        <family val="2"/>
        <scheme val="minor"/>
      </rPr>
      <t xml:space="preserve">   Acres under irrigation:</t>
    </r>
  </si>
  <si>
    <r>
      <rPr>
        <b/>
        <sz val="14"/>
        <color indexed="8"/>
        <rFont val="Calibri"/>
        <family val="2"/>
      </rPr>
      <t>Drought</t>
    </r>
    <r>
      <rPr>
        <sz val="14"/>
        <color indexed="8"/>
        <rFont val="Calibri"/>
        <family val="2"/>
      </rPr>
      <t xml:space="preserve">     Potential (default 0%)</t>
    </r>
  </si>
  <si>
    <t>Time Frame</t>
  </si>
  <si>
    <t>maps</t>
  </si>
  <si>
    <t>Feet of drawdown       without reduction</t>
  </si>
  <si>
    <t xml:space="preserve">                            Irrigation rate (acre inches)</t>
  </si>
  <si>
    <t xml:space="preserve">                            Reduction (acre inches)</t>
  </si>
  <si>
    <t xml:space="preserve">           with reduction</t>
  </si>
  <si>
    <t>Water saved per year (acre inches)</t>
  </si>
  <si>
    <t>Key</t>
  </si>
  <si>
    <t>Content Area</t>
  </si>
  <si>
    <t>Cell References</t>
  </si>
  <si>
    <t>Values entered in agriculture section above.</t>
  </si>
  <si>
    <t>Average precipitation over 5 years (in acre inches)</t>
  </si>
  <si>
    <t>5 year average irrigation (in acre inches)</t>
  </si>
  <si>
    <t>Irrigation reduction desired (in acre inches)</t>
  </si>
  <si>
    <t xml:space="preserve">                           Drought severity (default Medium)</t>
  </si>
  <si>
    <t>Net income (crops  normal irrigation only)</t>
  </si>
  <si>
    <t>At present pumping rates, dryland farming dominates in:</t>
  </si>
  <si>
    <t>Difference (normal - reduced irrigation, total)</t>
  </si>
  <si>
    <t xml:space="preserve">                        (normal - reduced irrigation, per acre)</t>
  </si>
  <si>
    <t>***why not 276-245?</t>
  </si>
  <si>
    <t>****link for national wind map not working</t>
  </si>
  <si>
    <t>Estimated usable life</t>
  </si>
  <si>
    <t>Drawdown avoided if reduction applied regionally (in feet)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</si>
</sst>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(&quot;$&quot;* #,##0.00_);_(&quot;$&quot;* \(#,##0.00\);_(&quot;$&quot;* &quot;-&quot;??_);_(@_)"/>
    <numFmt numFmtId="164" formatCode="0.0"/>
    <numFmt numFmtId="165" formatCode="&quot;$&quot;#,##0.00"/>
    <numFmt numFmtId="166" formatCode="_(* #,##0_);_(* \(#,##0\);_(* &quot;-&quot;??_);_(@_)"/>
    <numFmt numFmtId="167" formatCode="_(&quot;$&quot;* #,##0_);_(&quot;$&quot;* \(#,##0\);_(&quot;$&quot;* &quot;-&quot;??_);_(@_)"/>
    <numFmt numFmtId="168" formatCode="#,##0.0000_);\(#,##0.0000\)"/>
    <numFmt numFmtId="169" formatCode="&quot;$&quot;#,##0"/>
    <numFmt numFmtId="170" formatCode="&quot;$&quot;#,##0.0000"/>
    <numFmt numFmtId="171" formatCode="#,##0.000"/>
    <numFmt numFmtId="172" formatCode="0.0%"/>
    <numFmt numFmtId="173" formatCode="#,##0.0000"/>
  </numFmts>
  <fonts count="25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Times New Roman"/>
      <family val="1"/>
    </font>
    <font>
      <sz val="10"/>
      <name val="Arial"/>
      <family val="2"/>
    </font>
    <font>
      <sz val="10"/>
      <color theme="1"/>
      <name val="Arial Unicode MS"/>
      <family val="2"/>
    </font>
    <font>
      <sz val="14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000000"/>
      <name val="Arial"/>
      <family val="2"/>
    </font>
    <font>
      <sz val="14"/>
      <color indexed="8"/>
      <name val="Calibri"/>
      <family val="2"/>
    </font>
    <font>
      <sz val="10"/>
      <color rgb="FFFF0000"/>
      <name val="Arial Unicode MS"/>
      <family val="2"/>
    </font>
    <font>
      <sz val="14"/>
      <color rgb="FFFF0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indexed="8"/>
      <name val="Calibri"/>
      <family val="2"/>
    </font>
    <font>
      <sz val="14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00000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525">
    <xf numFmtId="0" fontId="0" fillId="0" borderId="0" xfId="0"/>
    <xf numFmtId="0" fontId="0" fillId="0" borderId="5" xfId="0" applyBorder="1" applyAlignment="1"/>
    <xf numFmtId="0" fontId="0" fillId="0" borderId="6" xfId="0" applyBorder="1" applyAlignment="1"/>
    <xf numFmtId="166" fontId="0" fillId="0" borderId="0" xfId="0" applyNumberFormat="1"/>
    <xf numFmtId="0" fontId="0" fillId="0" borderId="0" xfId="0" applyAlignment="1"/>
    <xf numFmtId="167" fontId="0" fillId="0" borderId="0" xfId="1" applyNumberFormat="1" applyFont="1" applyAlignment="1"/>
    <xf numFmtId="168" fontId="0" fillId="0" borderId="0" xfId="1" applyNumberFormat="1" applyFont="1" applyAlignment="1"/>
    <xf numFmtId="39" fontId="0" fillId="0" borderId="0" xfId="0" applyNumberFormat="1" applyAlignment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6" xfId="0" applyBorder="1"/>
    <xf numFmtId="0" fontId="0" fillId="0" borderId="3" xfId="0" applyBorder="1" applyAlignment="1"/>
    <xf numFmtId="0" fontId="0" fillId="0" borderId="0" xfId="0" applyBorder="1" applyAlignment="1"/>
    <xf numFmtId="0" fontId="0" fillId="0" borderId="4" xfId="0" applyBorder="1" applyAlignment="1"/>
    <xf numFmtId="167" fontId="0" fillId="0" borderId="0" xfId="1" applyNumberFormat="1" applyFont="1" applyBorder="1" applyAlignment="1"/>
    <xf numFmtId="167" fontId="0" fillId="0" borderId="0" xfId="1" applyNumberFormat="1" applyFont="1" applyBorder="1"/>
    <xf numFmtId="167" fontId="0" fillId="0" borderId="7" xfId="1" applyNumberFormat="1" applyFont="1" applyBorder="1"/>
    <xf numFmtId="0" fontId="0" fillId="0" borderId="7" xfId="0" applyBorder="1" applyAlignment="1"/>
    <xf numFmtId="0" fontId="0" fillId="0" borderId="3" xfId="0" applyFont="1" applyBorder="1"/>
    <xf numFmtId="0" fontId="0" fillId="0" borderId="0" xfId="0" applyFont="1" applyBorder="1"/>
    <xf numFmtId="169" fontId="0" fillId="0" borderId="0" xfId="0" applyNumberFormat="1" applyFont="1" applyBorder="1"/>
    <xf numFmtId="3" fontId="0" fillId="0" borderId="0" xfId="0" applyNumberFormat="1" applyFont="1" applyBorder="1" applyAlignment="1">
      <alignment vertical="center"/>
    </xf>
    <xf numFmtId="3" fontId="0" fillId="0" borderId="0" xfId="0" applyNumberFormat="1" applyBorder="1"/>
    <xf numFmtId="0" fontId="0" fillId="0" borderId="5" xfId="0" applyFont="1" applyBorder="1"/>
    <xf numFmtId="0" fontId="10" fillId="0" borderId="12" xfId="0" applyFont="1" applyFill="1" applyBorder="1" applyAlignment="1"/>
    <xf numFmtId="0" fontId="9" fillId="0" borderId="12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left"/>
    </xf>
    <xf numFmtId="164" fontId="9" fillId="0" borderId="3" xfId="0" applyNumberFormat="1" applyFont="1" applyFill="1" applyBorder="1" applyAlignment="1">
      <alignment horizontal="left"/>
    </xf>
    <xf numFmtId="165" fontId="9" fillId="0" borderId="13" xfId="0" applyNumberFormat="1" applyFont="1" applyFill="1" applyBorder="1" applyAlignment="1">
      <alignment horizontal="left"/>
    </xf>
    <xf numFmtId="165" fontId="9" fillId="0" borderId="14" xfId="0" applyNumberFormat="1" applyFont="1" applyFill="1" applyBorder="1" applyAlignment="1">
      <alignment horizontal="left"/>
    </xf>
    <xf numFmtId="0" fontId="10" fillId="0" borderId="6" xfId="0" applyFont="1" applyFill="1" applyBorder="1" applyAlignment="1">
      <alignment horizontal="left"/>
    </xf>
    <xf numFmtId="164" fontId="9" fillId="0" borderId="5" xfId="0" applyNumberFormat="1" applyFont="1" applyFill="1" applyBorder="1" applyAlignment="1">
      <alignment horizontal="left"/>
    </xf>
    <xf numFmtId="165" fontId="9" fillId="0" borderId="15" xfId="0" applyNumberFormat="1" applyFont="1" applyFill="1" applyBorder="1" applyAlignment="1">
      <alignment horizontal="left"/>
    </xf>
    <xf numFmtId="0" fontId="0" fillId="6" borderId="0" xfId="0" applyFill="1" applyBorder="1" applyAlignment="1">
      <alignment horizontal="center"/>
    </xf>
    <xf numFmtId="0" fontId="0" fillId="0" borderId="12" xfId="0" applyBorder="1" applyAlignment="1"/>
    <xf numFmtId="0" fontId="0" fillId="0" borderId="0" xfId="0" applyFont="1" applyFill="1" applyBorder="1"/>
    <xf numFmtId="0" fontId="0" fillId="0" borderId="12" xfId="0" applyBorder="1"/>
    <xf numFmtId="0" fontId="0" fillId="0" borderId="12" xfId="0" applyFill="1" applyBorder="1"/>
    <xf numFmtId="3" fontId="0" fillId="0" borderId="12" xfId="0" applyNumberFormat="1" applyFont="1" applyBorder="1" applyAlignment="1">
      <alignment vertical="center"/>
    </xf>
    <xf numFmtId="171" fontId="0" fillId="0" borderId="12" xfId="0" applyNumberFormat="1" applyBorder="1"/>
    <xf numFmtId="0" fontId="11" fillId="0" borderId="0" xfId="0" applyFont="1" applyAlignment="1">
      <alignment vertical="center"/>
    </xf>
    <xf numFmtId="168" fontId="0" fillId="0" borderId="12" xfId="1" applyNumberFormat="1" applyFont="1" applyBorder="1" applyAlignment="1"/>
    <xf numFmtId="167" fontId="0" fillId="0" borderId="12" xfId="1" applyNumberFormat="1" applyFont="1" applyBorder="1" applyAlignment="1"/>
    <xf numFmtId="39" fontId="0" fillId="0" borderId="12" xfId="0" applyNumberFormat="1" applyBorder="1" applyAlignment="1"/>
    <xf numFmtId="0" fontId="0" fillId="0" borderId="1" xfId="0" applyFont="1" applyBorder="1"/>
    <xf numFmtId="0" fontId="0" fillId="0" borderId="11" xfId="0" applyFont="1" applyBorder="1"/>
    <xf numFmtId="0" fontId="0" fillId="0" borderId="11" xfId="0" applyBorder="1"/>
    <xf numFmtId="0" fontId="0" fillId="0" borderId="2" xfId="0" applyBorder="1"/>
    <xf numFmtId="0" fontId="0" fillId="0" borderId="7" xfId="0" applyFont="1" applyBorder="1"/>
    <xf numFmtId="0" fontId="0" fillId="0" borderId="0" xfId="0" applyFill="1" applyAlignment="1"/>
    <xf numFmtId="0" fontId="0" fillId="0" borderId="2" xfId="0" applyFont="1" applyBorder="1"/>
    <xf numFmtId="165" fontId="0" fillId="0" borderId="4" xfId="0" applyNumberFormat="1" applyFont="1" applyBorder="1"/>
    <xf numFmtId="165" fontId="2" fillId="0" borderId="4" xfId="0" applyNumberFormat="1" applyFon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1" xfId="0" applyNumberFormat="1" applyBorder="1"/>
    <xf numFmtId="0" fontId="0" fillId="0" borderId="1" xfId="0" applyBorder="1"/>
    <xf numFmtId="3" fontId="0" fillId="0" borderId="0" xfId="0" applyNumberFormat="1"/>
    <xf numFmtId="0" fontId="11" fillId="0" borderId="3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4" fontId="0" fillId="0" borderId="0" xfId="0" applyNumberFormat="1" applyBorder="1"/>
    <xf numFmtId="0" fontId="0" fillId="0" borderId="4" xfId="0" applyFill="1" applyBorder="1"/>
    <xf numFmtId="0" fontId="0" fillId="11" borderId="1" xfId="0" applyFont="1" applyFill="1" applyBorder="1" applyAlignment="1">
      <alignment horizontal="center" vertical="center"/>
    </xf>
    <xf numFmtId="0" fontId="0" fillId="11" borderId="2" xfId="0" applyFont="1" applyFill="1" applyBorder="1" applyAlignment="1">
      <alignment horizontal="center" vertical="center"/>
    </xf>
    <xf numFmtId="169" fontId="0" fillId="0" borderId="12" xfId="0" applyNumberFormat="1" applyFont="1" applyBorder="1" applyAlignment="1">
      <alignment vertical="center"/>
    </xf>
    <xf numFmtId="169" fontId="0" fillId="0" borderId="12" xfId="0" applyNumberFormat="1" applyBorder="1"/>
    <xf numFmtId="165" fontId="0" fillId="0" borderId="0" xfId="0" applyNumberFormat="1"/>
    <xf numFmtId="3" fontId="0" fillId="0" borderId="0" xfId="0" applyNumberFormat="1" applyAlignment="1"/>
    <xf numFmtId="0" fontId="14" fillId="0" borderId="0" xfId="0" applyFont="1" applyAlignment="1">
      <alignment horizontal="center" vertical="center" readingOrder="1"/>
    </xf>
    <xf numFmtId="0" fontId="0" fillId="0" borderId="6" xfId="0" applyFill="1" applyBorder="1"/>
    <xf numFmtId="171" fontId="0" fillId="0" borderId="12" xfId="0" applyNumberFormat="1" applyFill="1" applyBorder="1"/>
    <xf numFmtId="0" fontId="7" fillId="5" borderId="3" xfId="0" applyFont="1" applyFill="1" applyBorder="1" applyAlignment="1" applyProtection="1">
      <alignment vertical="center" wrapText="1"/>
      <protection locked="0"/>
    </xf>
    <xf numFmtId="0" fontId="7" fillId="5" borderId="0" xfId="0" applyFont="1" applyFill="1" applyBorder="1" applyAlignment="1" applyProtection="1">
      <alignment vertical="center" wrapText="1"/>
      <protection locked="0"/>
    </xf>
    <xf numFmtId="0" fontId="7" fillId="5" borderId="4" xfId="0" applyFont="1" applyFill="1" applyBorder="1" applyAlignment="1" applyProtection="1">
      <alignment vertical="center" wrapText="1"/>
      <protection locked="0"/>
    </xf>
    <xf numFmtId="0" fontId="8" fillId="15" borderId="0" xfId="0" applyFont="1" applyFill="1" applyBorder="1" applyAlignment="1" applyProtection="1">
      <alignment vertical="center"/>
      <protection locked="0"/>
    </xf>
    <xf numFmtId="0" fontId="0" fillId="17" borderId="1" xfId="0" applyFill="1" applyBorder="1" applyAlignment="1" applyProtection="1">
      <alignment vertical="center"/>
      <protection locked="0"/>
    </xf>
    <xf numFmtId="0" fontId="0" fillId="17" borderId="0" xfId="0" applyFill="1" applyBorder="1" applyAlignment="1" applyProtection="1">
      <alignment vertical="center"/>
      <protection locked="0"/>
    </xf>
    <xf numFmtId="0" fontId="0" fillId="17" borderId="4" xfId="0" applyFill="1" applyBorder="1" applyAlignment="1" applyProtection="1">
      <alignment vertical="center"/>
      <protection locked="0"/>
    </xf>
    <xf numFmtId="0" fontId="8" fillId="17" borderId="0" xfId="0" applyFont="1" applyFill="1" applyBorder="1" applyAlignment="1" applyProtection="1">
      <alignment vertical="center"/>
      <protection locked="0"/>
    </xf>
    <xf numFmtId="0" fontId="0" fillId="17" borderId="3" xfId="0" applyFill="1" applyBorder="1" applyAlignment="1" applyProtection="1">
      <alignment vertical="center"/>
      <protection locked="0"/>
    </xf>
    <xf numFmtId="0" fontId="0" fillId="17" borderId="7" xfId="0" applyFill="1" applyBorder="1" applyAlignment="1" applyProtection="1">
      <alignment vertical="center"/>
      <protection locked="0"/>
    </xf>
    <xf numFmtId="0" fontId="7" fillId="19" borderId="0" xfId="0" applyFont="1" applyFill="1" applyBorder="1" applyAlignment="1" applyProtection="1">
      <alignment horizontal="left" vertical="center"/>
      <protection locked="0"/>
    </xf>
    <xf numFmtId="0" fontId="8" fillId="19" borderId="0" xfId="0" applyFont="1" applyFill="1" applyBorder="1" applyAlignment="1" applyProtection="1">
      <alignment horizontal="left" vertical="center"/>
      <protection locked="0"/>
    </xf>
    <xf numFmtId="0" fontId="0" fillId="15" borderId="0" xfId="0" applyFill="1" applyBorder="1" applyAlignment="1">
      <alignment vertical="center" wrapText="1"/>
    </xf>
    <xf numFmtId="0" fontId="8" fillId="17" borderId="7" xfId="0" applyFont="1" applyFill="1" applyBorder="1" applyAlignment="1" applyProtection="1">
      <alignment vertical="center"/>
      <protection locked="0"/>
    </xf>
    <xf numFmtId="0" fontId="0" fillId="19" borderId="0" xfId="0" applyFill="1" applyBorder="1" applyAlignment="1" applyProtection="1">
      <alignment vertical="center"/>
      <protection locked="0"/>
    </xf>
    <xf numFmtId="0" fontId="8" fillId="19" borderId="0" xfId="0" applyFont="1" applyFill="1" applyBorder="1" applyAlignment="1" applyProtection="1">
      <alignment vertical="center"/>
      <protection locked="0"/>
    </xf>
    <xf numFmtId="165" fontId="8" fillId="15" borderId="0" xfId="0" applyNumberFormat="1" applyFont="1" applyFill="1" applyBorder="1" applyAlignment="1" applyProtection="1">
      <alignment horizontal="center" vertical="center"/>
    </xf>
    <xf numFmtId="0" fontId="7" fillId="17" borderId="0" xfId="0" applyFont="1" applyFill="1" applyBorder="1" applyAlignment="1" applyProtection="1">
      <alignment horizontal="left" vertical="center"/>
      <protection locked="0"/>
    </xf>
    <xf numFmtId="0" fontId="7" fillId="17" borderId="3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0" fillId="0" borderId="0" xfId="0" applyFill="1" applyAlignment="1">
      <alignment horizontal="left"/>
    </xf>
    <xf numFmtId="3" fontId="0" fillId="0" borderId="0" xfId="0" applyNumberFormat="1" applyFill="1" applyAlignment="1">
      <alignment horizontal="left"/>
    </xf>
    <xf numFmtId="168" fontId="0" fillId="0" borderId="0" xfId="0" applyNumberFormat="1" applyFill="1"/>
    <xf numFmtId="0" fontId="16" fillId="0" borderId="0" xfId="0" applyFont="1" applyFill="1" applyBorder="1" applyAlignment="1">
      <alignment vertical="center"/>
    </xf>
    <xf numFmtId="0" fontId="0" fillId="6" borderId="0" xfId="0" applyFill="1" applyBorder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7" fillId="2" borderId="3" xfId="0" applyFont="1" applyFill="1" applyBorder="1" applyAlignment="1" applyProtection="1">
      <alignment horizontal="left" vertical="center" wrapText="1"/>
      <protection locked="0"/>
    </xf>
    <xf numFmtId="0" fontId="7" fillId="2" borderId="0" xfId="0" applyFont="1" applyFill="1" applyBorder="1" applyAlignment="1" applyProtection="1">
      <alignment horizontal="left" vertical="center" wrapText="1"/>
      <protection locked="0"/>
    </xf>
    <xf numFmtId="0" fontId="7" fillId="2" borderId="4" xfId="0" applyFont="1" applyFill="1" applyBorder="1" applyAlignment="1" applyProtection="1">
      <alignment horizontal="left" vertical="center" wrapText="1"/>
      <protection locked="0"/>
    </xf>
    <xf numFmtId="0" fontId="7" fillId="5" borderId="3" xfId="0" applyFont="1" applyFill="1" applyBorder="1" applyAlignment="1" applyProtection="1">
      <alignment horizontal="left" vertical="center" wrapText="1"/>
      <protection locked="0"/>
    </xf>
    <xf numFmtId="0" fontId="7" fillId="5" borderId="0" xfId="0" applyFont="1" applyFill="1" applyBorder="1" applyAlignment="1" applyProtection="1">
      <alignment horizontal="left" vertical="center" wrapText="1"/>
      <protection locked="0"/>
    </xf>
    <xf numFmtId="0" fontId="7" fillId="5" borderId="4" xfId="0" applyFont="1" applyFill="1" applyBorder="1" applyAlignment="1" applyProtection="1">
      <alignment horizontal="left" vertical="center" wrapText="1"/>
      <protection locked="0"/>
    </xf>
    <xf numFmtId="0" fontId="0" fillId="18" borderId="0" xfId="0" applyFill="1" applyBorder="1" applyAlignment="1" applyProtection="1">
      <alignment vertical="center"/>
      <protection locked="0"/>
    </xf>
    <xf numFmtId="0" fontId="8" fillId="15" borderId="0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0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5" borderId="0" xfId="0" applyFill="1" applyAlignment="1" applyProtection="1">
      <alignment horizontal="left" vertical="center"/>
      <protection locked="0"/>
    </xf>
    <xf numFmtId="0" fontId="7" fillId="5" borderId="3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left" vertical="center"/>
      <protection locked="0"/>
    </xf>
    <xf numFmtId="0" fontId="7" fillId="5" borderId="4" xfId="0" applyFont="1" applyFill="1" applyBorder="1" applyAlignment="1" applyProtection="1">
      <alignment horizontal="left" vertical="center"/>
      <protection locked="0"/>
    </xf>
    <xf numFmtId="0" fontId="7" fillId="12" borderId="3" xfId="0" applyFont="1" applyFill="1" applyBorder="1" applyAlignment="1" applyProtection="1">
      <alignment horizontal="left" vertical="center"/>
      <protection locked="0"/>
    </xf>
    <xf numFmtId="0" fontId="7" fillId="12" borderId="0" xfId="0" applyFont="1" applyFill="1" applyBorder="1" applyAlignment="1" applyProtection="1">
      <alignment horizontal="left" vertical="center"/>
      <protection locked="0"/>
    </xf>
    <xf numFmtId="0" fontId="7" fillId="12" borderId="4" xfId="0" applyFont="1" applyFill="1" applyBorder="1" applyAlignment="1" applyProtection="1">
      <alignment horizontal="left" vertical="center"/>
      <protection locked="0"/>
    </xf>
    <xf numFmtId="0" fontId="7" fillId="12" borderId="5" xfId="0" applyFont="1" applyFill="1" applyBorder="1" applyAlignment="1" applyProtection="1">
      <alignment horizontal="left" vertical="center"/>
      <protection locked="0"/>
    </xf>
    <xf numFmtId="0" fontId="7" fillId="12" borderId="7" xfId="0" applyFont="1" applyFill="1" applyBorder="1" applyAlignment="1" applyProtection="1">
      <alignment horizontal="left" vertical="center"/>
      <protection locked="0"/>
    </xf>
    <xf numFmtId="0" fontId="7" fillId="12" borderId="6" xfId="0" applyFont="1" applyFill="1" applyBorder="1" applyAlignment="1" applyProtection="1">
      <alignment horizontal="left" vertical="center"/>
      <protection locked="0"/>
    </xf>
    <xf numFmtId="0" fontId="7" fillId="14" borderId="3" xfId="0" applyFont="1" applyFill="1" applyBorder="1" applyAlignment="1">
      <alignment horizontal="left" vertical="center" wrapText="1"/>
    </xf>
    <xf numFmtId="0" fontId="7" fillId="14" borderId="0" xfId="0" applyFont="1" applyFill="1" applyBorder="1" applyAlignment="1">
      <alignment horizontal="left" vertical="center" wrapText="1"/>
    </xf>
    <xf numFmtId="0" fontId="7" fillId="14" borderId="4" xfId="0" applyFont="1" applyFill="1" applyBorder="1" applyAlignment="1">
      <alignment horizontal="left" vertical="center" wrapText="1"/>
    </xf>
    <xf numFmtId="0" fontId="7" fillId="14" borderId="5" xfId="0" applyFont="1" applyFill="1" applyBorder="1" applyAlignment="1">
      <alignment horizontal="left" vertical="center" wrapText="1"/>
    </xf>
    <xf numFmtId="0" fontId="7" fillId="14" borderId="7" xfId="0" applyFont="1" applyFill="1" applyBorder="1" applyAlignment="1">
      <alignment horizontal="left" vertical="center" wrapText="1"/>
    </xf>
    <xf numFmtId="0" fontId="7" fillId="14" borderId="6" xfId="0" applyFont="1" applyFill="1" applyBorder="1" applyAlignment="1">
      <alignment horizontal="left" vertical="center" wrapText="1"/>
    </xf>
    <xf numFmtId="168" fontId="0" fillId="0" borderId="0" xfId="0" applyNumberFormat="1" applyFill="1" applyAlignment="1">
      <alignment horizontal="left"/>
    </xf>
    <xf numFmtId="167" fontId="0" fillId="0" borderId="0" xfId="0" applyNumberFormat="1" applyFill="1" applyAlignment="1">
      <alignment horizontal="left"/>
    </xf>
    <xf numFmtId="39" fontId="0" fillId="0" borderId="0" xfId="0" applyNumberFormat="1" applyFill="1" applyAlignment="1">
      <alignment horizontal="left"/>
    </xf>
    <xf numFmtId="0" fontId="0" fillId="0" borderId="0" xfId="0" applyFill="1" applyBorder="1" applyAlignment="1">
      <alignment horizontal="left"/>
    </xf>
    <xf numFmtId="0" fontId="11" fillId="0" borderId="0" xfId="0" applyFont="1" applyBorder="1" applyAlignment="1">
      <alignment vertical="center"/>
    </xf>
    <xf numFmtId="0" fontId="0" fillId="0" borderId="0" xfId="0" applyFill="1" applyBorder="1" applyAlignment="1"/>
    <xf numFmtId="39" fontId="0" fillId="0" borderId="0" xfId="0" applyNumberFormat="1" applyFill="1"/>
    <xf numFmtId="0" fontId="8" fillId="0" borderId="12" xfId="0" applyFont="1" applyFill="1" applyBorder="1" applyAlignment="1" applyProtection="1">
      <alignment horizontal="center" vertical="center"/>
      <protection locked="0"/>
    </xf>
    <xf numFmtId="0" fontId="18" fillId="17" borderId="8" xfId="0" applyFont="1" applyFill="1" applyBorder="1" applyAlignment="1" applyProtection="1">
      <alignment horizontal="left" vertical="center"/>
      <protection locked="0"/>
    </xf>
    <xf numFmtId="0" fontId="18" fillId="17" borderId="9" xfId="0" applyFont="1" applyFill="1" applyBorder="1" applyAlignment="1" applyProtection="1">
      <alignment horizontal="left" vertical="center"/>
      <protection locked="0"/>
    </xf>
    <xf numFmtId="0" fontId="18" fillId="17" borderId="10" xfId="0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Border="1" applyAlignment="1" applyProtection="1">
      <alignment vertical="center"/>
      <protection locked="0"/>
    </xf>
    <xf numFmtId="0" fontId="0" fillId="15" borderId="0" xfId="0" applyFill="1" applyBorder="1" applyAlignment="1" applyProtection="1">
      <alignment vertical="center"/>
      <protection locked="0"/>
    </xf>
    <xf numFmtId="0" fontId="8" fillId="17" borderId="4" xfId="0" applyFont="1" applyFill="1" applyBorder="1" applyAlignment="1" applyProtection="1">
      <alignment vertical="center"/>
      <protection locked="0"/>
    </xf>
    <xf numFmtId="0" fontId="8" fillId="17" borderId="6" xfId="0" applyFont="1" applyFill="1" applyBorder="1" applyAlignment="1" applyProtection="1">
      <alignment vertical="center"/>
      <protection locked="0"/>
    </xf>
    <xf numFmtId="0" fontId="8" fillId="15" borderId="11" xfId="0" applyFont="1" applyFill="1" applyBorder="1" applyAlignment="1" applyProtection="1">
      <alignment vertical="center"/>
      <protection locked="0"/>
    </xf>
    <xf numFmtId="0" fontId="15" fillId="15" borderId="7" xfId="0" applyFont="1" applyFill="1" applyBorder="1" applyAlignment="1" applyProtection="1">
      <alignment vertical="center"/>
      <protection locked="0"/>
    </xf>
    <xf numFmtId="0" fontId="15" fillId="15" borderId="6" xfId="0" applyFont="1" applyFill="1" applyBorder="1" applyAlignment="1" applyProtection="1">
      <alignment vertical="center"/>
      <protection locked="0"/>
    </xf>
    <xf numFmtId="0" fontId="17" fillId="15" borderId="11" xfId="0" applyFont="1" applyFill="1" applyBorder="1" applyAlignment="1" applyProtection="1">
      <alignment vertical="center"/>
      <protection locked="0"/>
    </xf>
    <xf numFmtId="0" fontId="15" fillId="15" borderId="11" xfId="0" applyFont="1" applyFill="1" applyBorder="1" applyAlignment="1" applyProtection="1">
      <alignment vertical="center"/>
      <protection locked="0"/>
    </xf>
    <xf numFmtId="0" fontId="15" fillId="15" borderId="2" xfId="0" applyFont="1" applyFill="1" applyBorder="1" applyAlignment="1" applyProtection="1">
      <alignment vertical="center"/>
      <protection locked="0"/>
    </xf>
    <xf numFmtId="0" fontId="15" fillId="15" borderId="0" xfId="0" applyFont="1" applyFill="1" applyBorder="1" applyAlignment="1" applyProtection="1">
      <alignment vertical="center"/>
      <protection locked="0"/>
    </xf>
    <xf numFmtId="0" fontId="17" fillId="20" borderId="1" xfId="0" applyFont="1" applyFill="1" applyBorder="1" applyAlignment="1" applyProtection="1">
      <alignment vertical="center"/>
      <protection locked="0"/>
    </xf>
    <xf numFmtId="0" fontId="8" fillId="20" borderId="3" xfId="0" applyFont="1" applyFill="1" applyBorder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20" borderId="0" xfId="0" applyFont="1" applyFill="1" applyBorder="1" applyAlignment="1" applyProtection="1">
      <alignment vertical="center"/>
      <protection locked="0"/>
    </xf>
    <xf numFmtId="0" fontId="8" fillId="20" borderId="7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8" fillId="20" borderId="3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8" fillId="20" borderId="8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7" fillId="20" borderId="8" xfId="0" applyFont="1" applyFill="1" applyBorder="1" applyAlignment="1" applyProtection="1">
      <alignment vertical="center"/>
      <protection locked="0"/>
    </xf>
    <xf numFmtId="169" fontId="8" fillId="0" borderId="0" xfId="0" applyNumberFormat="1" applyFont="1" applyFill="1" applyBorder="1" applyAlignment="1" applyProtection="1">
      <alignment horizontal="center" vertical="center"/>
    </xf>
    <xf numFmtId="0" fontId="8" fillId="20" borderId="1" xfId="0" applyFont="1" applyFill="1" applyBorder="1" applyAlignment="1" applyProtection="1">
      <alignment horizontal="left" vertical="center"/>
      <protection locked="0"/>
    </xf>
    <xf numFmtId="0" fontId="8" fillId="20" borderId="5" xfId="0" applyFont="1" applyFill="1" applyBorder="1" applyAlignment="1" applyProtection="1">
      <alignment horizontal="left" vertical="center"/>
      <protection locked="0"/>
    </xf>
    <xf numFmtId="0" fontId="7" fillId="20" borderId="8" xfId="0" applyFont="1" applyFill="1" applyBorder="1" applyAlignment="1" applyProtection="1">
      <alignment vertical="center"/>
      <protection locked="0"/>
    </xf>
    <xf numFmtId="0" fontId="18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169" fontId="8" fillId="17" borderId="0" xfId="0" applyNumberFormat="1" applyFont="1" applyFill="1" applyBorder="1" applyAlignment="1" applyProtection="1">
      <alignment horizontal="center" vertical="center"/>
    </xf>
    <xf numFmtId="0" fontId="0" fillId="20" borderId="11" xfId="0" applyFill="1" applyBorder="1" applyAlignment="1" applyProtection="1">
      <alignment vertical="center"/>
      <protection locked="0"/>
    </xf>
    <xf numFmtId="0" fontId="7" fillId="20" borderId="0" xfId="0" applyFont="1" applyFill="1" applyBorder="1" applyAlignment="1" applyProtection="1">
      <alignment horizontal="left" vertical="center"/>
      <protection locked="0"/>
    </xf>
    <xf numFmtId="0" fontId="8" fillId="19" borderId="9" xfId="0" applyFont="1" applyFill="1" applyBorder="1" applyAlignment="1" applyProtection="1">
      <alignment vertical="center"/>
      <protection locked="0"/>
    </xf>
    <xf numFmtId="0" fontId="8" fillId="19" borderId="10" xfId="0" applyFont="1" applyFill="1" applyBorder="1" applyAlignment="1" applyProtection="1">
      <alignment vertical="center"/>
      <protection locked="0"/>
    </xf>
    <xf numFmtId="0" fontId="18" fillId="20" borderId="1" xfId="0" applyFont="1" applyFill="1" applyBorder="1" applyAlignment="1" applyProtection="1">
      <alignment vertical="center" wrapText="1"/>
      <protection locked="0"/>
    </xf>
    <xf numFmtId="0" fontId="18" fillId="20" borderId="5" xfId="0" applyFont="1" applyFill="1" applyBorder="1" applyAlignment="1" applyProtection="1">
      <alignment vertical="center" wrapText="1"/>
      <protection locked="0"/>
    </xf>
    <xf numFmtId="0" fontId="18" fillId="0" borderId="0" xfId="0" applyFont="1" applyFill="1" applyBorder="1" applyAlignment="1" applyProtection="1">
      <alignment vertical="center" wrapText="1"/>
      <protection locked="0"/>
    </xf>
    <xf numFmtId="0" fontId="17" fillId="15" borderId="0" xfId="0" applyFont="1" applyFill="1" applyBorder="1" applyAlignment="1" applyProtection="1">
      <alignment vertical="center"/>
      <protection locked="0"/>
    </xf>
    <xf numFmtId="0" fontId="8" fillId="20" borderId="12" xfId="0" applyFont="1" applyFill="1" applyBorder="1" applyAlignment="1" applyProtection="1">
      <alignment vertical="center"/>
      <protection locked="0"/>
    </xf>
    <xf numFmtId="0" fontId="8" fillId="15" borderId="0" xfId="0" applyFont="1" applyFill="1" applyBorder="1" applyAlignment="1" applyProtection="1">
      <alignment horizontal="left" vertical="center"/>
      <protection locked="0"/>
    </xf>
    <xf numFmtId="0" fontId="8" fillId="15" borderId="0" xfId="0" applyFont="1" applyFill="1" applyBorder="1" applyAlignment="1" applyProtection="1">
      <alignment horizontal="center" vertical="center" wrapText="1"/>
      <protection locked="0"/>
    </xf>
    <xf numFmtId="0" fontId="6" fillId="15" borderId="0" xfId="0" applyFont="1" applyFill="1" applyBorder="1" applyAlignment="1" applyProtection="1">
      <alignment horizontal="center" vertical="center"/>
      <protection locked="0"/>
    </xf>
    <xf numFmtId="0" fontId="8" fillId="15" borderId="11" xfId="0" applyFont="1" applyFill="1" applyBorder="1" applyAlignment="1" applyProtection="1">
      <alignment horizontal="left" vertical="center"/>
      <protection locked="0"/>
    </xf>
    <xf numFmtId="0" fontId="8" fillId="15" borderId="7" xfId="0" applyFont="1" applyFill="1" applyBorder="1" applyAlignment="1" applyProtection="1">
      <alignment horizontal="left" vertical="center"/>
      <protection locked="0"/>
    </xf>
    <xf numFmtId="0" fontId="8" fillId="17" borderId="9" xfId="0" applyFont="1" applyFill="1" applyBorder="1" applyAlignment="1" applyProtection="1">
      <alignment horizontal="left" vertical="center"/>
      <protection locked="0"/>
    </xf>
    <xf numFmtId="0" fontId="8" fillId="19" borderId="0" xfId="0" applyFont="1" applyFill="1" applyBorder="1" applyAlignment="1" applyProtection="1">
      <alignment horizontal="center" vertical="center"/>
      <protection locked="0"/>
    </xf>
    <xf numFmtId="0" fontId="8" fillId="17" borderId="9" xfId="0" applyFont="1" applyFill="1" applyBorder="1" applyAlignment="1" applyProtection="1">
      <alignment vertic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173" fontId="0" fillId="0" borderId="0" xfId="0" applyNumberFormat="1" applyFill="1" applyAlignment="1">
      <alignment horizontal="left"/>
    </xf>
    <xf numFmtId="0" fontId="8" fillId="15" borderId="7" xfId="0" applyFont="1" applyFill="1" applyBorder="1" applyAlignment="1" applyProtection="1">
      <alignment horizontal="center" vertical="center" wrapText="1"/>
      <protection locked="0"/>
    </xf>
    <xf numFmtId="0" fontId="6" fillId="15" borderId="7" xfId="0" applyFont="1" applyFill="1" applyBorder="1" applyAlignment="1" applyProtection="1">
      <alignment horizontal="center" vertical="center"/>
      <protection locked="0"/>
    </xf>
    <xf numFmtId="0" fontId="0" fillId="20" borderId="0" xfId="0" applyFill="1" applyBorder="1" applyAlignment="1" applyProtection="1">
      <alignment vertical="center"/>
      <protection locked="0"/>
    </xf>
    <xf numFmtId="0" fontId="8" fillId="15" borderId="18" xfId="0" applyFont="1" applyFill="1" applyBorder="1" applyAlignment="1" applyProtection="1">
      <alignment horizontal="center" vertical="center" wrapText="1"/>
      <protection locked="0"/>
    </xf>
    <xf numFmtId="0" fontId="8" fillId="15" borderId="22" xfId="0" applyFont="1" applyFill="1" applyBorder="1" applyAlignment="1" applyProtection="1">
      <alignment horizontal="center" vertical="center" wrapText="1"/>
      <protection locked="0"/>
    </xf>
    <xf numFmtId="0" fontId="0" fillId="17" borderId="20" xfId="0" applyFill="1" applyBorder="1" applyAlignment="1" applyProtection="1">
      <alignment vertical="center"/>
      <protection locked="0"/>
    </xf>
    <xf numFmtId="0" fontId="0" fillId="17" borderId="21" xfId="0" applyFill="1" applyBorder="1" applyAlignment="1" applyProtection="1">
      <alignment vertical="center"/>
      <protection locked="0"/>
    </xf>
    <xf numFmtId="0" fontId="8" fillId="17" borderId="22" xfId="0" applyFont="1" applyFill="1" applyBorder="1" applyAlignment="1" applyProtection="1">
      <alignment vertical="center"/>
      <protection locked="0"/>
    </xf>
    <xf numFmtId="0" fontId="0" fillId="17" borderId="23" xfId="0" applyFill="1" applyBorder="1" applyAlignment="1" applyProtection="1">
      <alignment vertical="center"/>
      <protection locked="0"/>
    </xf>
    <xf numFmtId="0" fontId="0" fillId="17" borderId="22" xfId="0" applyFill="1" applyBorder="1" applyAlignment="1" applyProtection="1">
      <alignment vertical="center"/>
      <protection locked="0"/>
    </xf>
    <xf numFmtId="0" fontId="0" fillId="17" borderId="18" xfId="0" applyFill="1" applyBorder="1" applyAlignment="1" applyProtection="1">
      <alignment vertical="center"/>
      <protection locked="0"/>
    </xf>
    <xf numFmtId="0" fontId="7" fillId="19" borderId="22" xfId="0" applyFont="1" applyFill="1" applyBorder="1" applyAlignment="1" applyProtection="1">
      <alignment horizontal="left" vertical="center"/>
      <protection locked="0"/>
    </xf>
    <xf numFmtId="0" fontId="0" fillId="19" borderId="22" xfId="0" applyFill="1" applyBorder="1" applyAlignment="1" applyProtection="1">
      <alignment vertical="center"/>
      <protection locked="0"/>
    </xf>
    <xf numFmtId="0" fontId="0" fillId="19" borderId="23" xfId="0" applyFill="1" applyBorder="1" applyAlignment="1" applyProtection="1">
      <alignment vertical="center"/>
      <protection locked="0"/>
    </xf>
    <xf numFmtId="0" fontId="8" fillId="19" borderId="22" xfId="0" applyFont="1" applyFill="1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0" fillId="0" borderId="29" xfId="0" applyBorder="1" applyAlignment="1" applyProtection="1">
      <alignment vertical="center"/>
      <protection locked="0"/>
    </xf>
    <xf numFmtId="0" fontId="0" fillId="0" borderId="17" xfId="0" applyBorder="1" applyAlignment="1" applyProtection="1">
      <alignment vertical="center"/>
      <protection locked="0"/>
    </xf>
    <xf numFmtId="0" fontId="8" fillId="6" borderId="30" xfId="0" applyFont="1" applyFill="1" applyBorder="1" applyAlignment="1" applyProtection="1">
      <alignment horizontal="center" vertical="center" wrapText="1"/>
      <protection locked="0"/>
    </xf>
    <xf numFmtId="9" fontId="8" fillId="11" borderId="31" xfId="0" applyNumberFormat="1" applyFont="1" applyFill="1" applyBorder="1" applyAlignment="1" applyProtection="1">
      <alignment horizontal="center" vertical="center" wrapText="1"/>
    </xf>
    <xf numFmtId="9" fontId="8" fillId="0" borderId="30" xfId="0" applyNumberFormat="1" applyFont="1" applyFill="1" applyBorder="1" applyAlignment="1" applyProtection="1">
      <alignment horizontal="center" vertical="center" wrapText="1"/>
    </xf>
    <xf numFmtId="0" fontId="8" fillId="0" borderId="30" xfId="0" applyFont="1" applyFill="1" applyBorder="1" applyAlignment="1" applyProtection="1">
      <alignment horizontal="center" vertical="center"/>
      <protection locked="0"/>
    </xf>
    <xf numFmtId="0" fontId="0" fillId="15" borderId="23" xfId="0" applyFill="1" applyBorder="1" applyAlignment="1">
      <alignment vertical="center" wrapText="1"/>
    </xf>
    <xf numFmtId="0" fontId="8" fillId="15" borderId="23" xfId="0" applyFont="1" applyFill="1" applyBorder="1" applyAlignment="1" applyProtection="1">
      <alignment horizontal="left" vertical="center"/>
      <protection locked="0"/>
    </xf>
    <xf numFmtId="0" fontId="0" fillId="15" borderId="22" xfId="0" applyFill="1" applyBorder="1" applyAlignment="1" applyProtection="1">
      <alignment vertical="center"/>
      <protection locked="0"/>
    </xf>
    <xf numFmtId="0" fontId="8" fillId="15" borderId="22" xfId="0" applyFont="1" applyFill="1" applyBorder="1" applyAlignment="1" applyProtection="1">
      <alignment vertical="center"/>
      <protection locked="0"/>
    </xf>
    <xf numFmtId="0" fontId="8" fillId="15" borderId="22" xfId="0" applyFont="1" applyFill="1" applyBorder="1" applyAlignment="1" applyProtection="1">
      <alignment horizontal="center" vertical="center"/>
      <protection locked="0"/>
    </xf>
    <xf numFmtId="0" fontId="8" fillId="15" borderId="19" xfId="0" applyFont="1" applyFill="1" applyBorder="1" applyAlignment="1" applyProtection="1">
      <alignment horizontal="left" vertical="center"/>
      <protection locked="0"/>
    </xf>
    <xf numFmtId="0" fontId="8" fillId="6" borderId="19" xfId="0" applyFont="1" applyFill="1" applyBorder="1" applyAlignment="1" applyProtection="1">
      <alignment horizontal="center" vertical="center"/>
      <protection locked="0"/>
    </xf>
    <xf numFmtId="169" fontId="8" fillId="22" borderId="28" xfId="0" applyNumberFormat="1" applyFont="1" applyFill="1" applyBorder="1" applyAlignment="1" applyProtection="1">
      <alignment horizontal="center" vertical="center"/>
      <protection locked="0"/>
    </xf>
    <xf numFmtId="169" fontId="8" fillId="21" borderId="28" xfId="0" applyNumberFormat="1" applyFont="1" applyFill="1" applyBorder="1" applyAlignment="1" applyProtection="1">
      <alignment horizontal="center" vertical="center"/>
      <protection locked="0"/>
    </xf>
    <xf numFmtId="0" fontId="8" fillId="6" borderId="28" xfId="0" applyFont="1" applyFill="1" applyBorder="1" applyAlignment="1" applyProtection="1">
      <alignment horizontal="center" vertical="center"/>
      <protection locked="0"/>
    </xf>
    <xf numFmtId="9" fontId="8" fillId="21" borderId="28" xfId="0" applyNumberFormat="1" applyFont="1" applyFill="1" applyBorder="1" applyAlignment="1" applyProtection="1">
      <alignment horizontal="center" vertical="center"/>
      <protection locked="0"/>
    </xf>
    <xf numFmtId="170" fontId="8" fillId="23" borderId="28" xfId="0" applyNumberFormat="1" applyFont="1" applyFill="1" applyBorder="1" applyAlignment="1" applyProtection="1">
      <alignment horizontal="center" vertical="center"/>
      <protection locked="0"/>
    </xf>
    <xf numFmtId="0" fontId="8" fillId="6" borderId="30" xfId="0" applyFont="1" applyFill="1" applyBorder="1" applyAlignment="1" applyProtection="1">
      <alignment horizontal="center" vertical="center"/>
      <protection locked="0"/>
    </xf>
    <xf numFmtId="0" fontId="8" fillId="17" borderId="18" xfId="0" applyFont="1" applyFill="1" applyBorder="1" applyAlignment="1" applyProtection="1">
      <alignment vertical="center"/>
      <protection locked="0"/>
    </xf>
    <xf numFmtId="172" fontId="8" fillId="21" borderId="30" xfId="0" applyNumberFormat="1" applyFont="1" applyFill="1" applyBorder="1" applyAlignment="1" applyProtection="1">
      <alignment horizontal="center" vertical="center"/>
      <protection locked="0"/>
    </xf>
    <xf numFmtId="0" fontId="8" fillId="17" borderId="23" xfId="0" applyFont="1" applyFill="1" applyBorder="1" applyAlignment="1" applyProtection="1">
      <alignment vertical="center"/>
      <protection locked="0"/>
    </xf>
    <xf numFmtId="0" fontId="8" fillId="17" borderId="19" xfId="0" applyFont="1" applyFill="1" applyBorder="1" applyAlignment="1" applyProtection="1">
      <alignment vertical="center"/>
      <protection locked="0"/>
    </xf>
    <xf numFmtId="0" fontId="8" fillId="21" borderId="30" xfId="0" applyFont="1" applyFill="1" applyBorder="1" applyAlignment="1" applyProtection="1">
      <alignment horizontal="center" vertical="center"/>
      <protection locked="0"/>
    </xf>
    <xf numFmtId="0" fontId="0" fillId="20" borderId="29" xfId="0" applyFill="1" applyBorder="1" applyAlignment="1" applyProtection="1">
      <alignment vertical="center"/>
      <protection locked="0"/>
    </xf>
    <xf numFmtId="0" fontId="8" fillId="15" borderId="21" xfId="0" applyFont="1" applyFill="1" applyBorder="1" applyAlignment="1" applyProtection="1">
      <alignment horizontal="left" vertical="center"/>
      <protection locked="0"/>
    </xf>
    <xf numFmtId="0" fontId="7" fillId="17" borderId="23" xfId="0" applyFont="1" applyFill="1" applyBorder="1" applyAlignment="1" applyProtection="1">
      <alignment horizontal="left" vertical="center"/>
      <protection locked="0"/>
    </xf>
    <xf numFmtId="0" fontId="0" fillId="17" borderId="0" xfId="0" applyFill="1" applyBorder="1"/>
    <xf numFmtId="0" fontId="0" fillId="18" borderId="23" xfId="0" applyFill="1" applyBorder="1" applyAlignment="1" applyProtection="1">
      <alignment vertical="center"/>
      <protection locked="0"/>
    </xf>
    <xf numFmtId="0" fontId="8" fillId="13" borderId="0" xfId="0" applyFont="1" applyFill="1" applyBorder="1" applyAlignment="1" applyProtection="1">
      <alignment vertical="center"/>
      <protection locked="0"/>
    </xf>
    <xf numFmtId="0" fontId="7" fillId="13" borderId="16" xfId="0" applyFont="1" applyFill="1" applyBorder="1" applyAlignment="1" applyProtection="1">
      <alignment vertical="center"/>
      <protection locked="0"/>
    </xf>
    <xf numFmtId="0" fontId="8" fillId="13" borderId="29" xfId="0" applyFont="1" applyFill="1" applyBorder="1" applyAlignment="1" applyProtection="1">
      <alignment vertical="center"/>
      <protection locked="0"/>
    </xf>
    <xf numFmtId="0" fontId="8" fillId="13" borderId="17" xfId="0" applyFont="1" applyFill="1" applyBorder="1" applyAlignment="1" applyProtection="1">
      <alignment vertical="center"/>
      <protection locked="0"/>
    </xf>
    <xf numFmtId="0" fontId="8" fillId="13" borderId="22" xfId="0" applyFont="1" applyFill="1" applyBorder="1" applyAlignment="1" applyProtection="1">
      <alignment vertical="center"/>
      <protection locked="0"/>
    </xf>
    <xf numFmtId="0" fontId="8" fillId="13" borderId="23" xfId="0" applyFont="1" applyFill="1" applyBorder="1" applyAlignment="1" applyProtection="1">
      <alignment vertical="center"/>
      <protection locked="0"/>
    </xf>
    <xf numFmtId="0" fontId="0" fillId="13" borderId="35" xfId="0" applyFill="1" applyBorder="1" applyAlignment="1" applyProtection="1">
      <alignment vertical="center"/>
      <protection locked="0"/>
    </xf>
    <xf numFmtId="0" fontId="0" fillId="13" borderId="36" xfId="0" applyFill="1" applyBorder="1" applyAlignment="1" applyProtection="1">
      <alignment vertical="center"/>
      <protection locked="0"/>
    </xf>
    <xf numFmtId="0" fontId="19" fillId="13" borderId="36" xfId="0" applyFont="1" applyFill="1" applyBorder="1" applyAlignment="1" applyProtection="1">
      <alignment vertical="center"/>
      <protection locked="0"/>
    </xf>
    <xf numFmtId="0" fontId="0" fillId="13" borderId="37" xfId="0" applyFill="1" applyBorder="1" applyAlignment="1" applyProtection="1">
      <alignment vertical="center"/>
      <protection locked="0"/>
    </xf>
    <xf numFmtId="3" fontId="0" fillId="4" borderId="12" xfId="0" applyNumberFormat="1" applyFont="1" applyFill="1" applyBorder="1" applyAlignment="1">
      <alignment vertical="center"/>
    </xf>
    <xf numFmtId="165" fontId="0" fillId="0" borderId="0" xfId="0" applyNumberFormat="1" applyFill="1" applyBorder="1" applyAlignment="1" applyProtection="1">
      <alignment vertical="center"/>
      <protection locked="0"/>
    </xf>
    <xf numFmtId="0" fontId="8" fillId="15" borderId="0" xfId="0" applyFont="1" applyFill="1" applyBorder="1" applyAlignment="1" applyProtection="1">
      <alignment horizontal="left" vertical="center"/>
      <protection locked="0"/>
    </xf>
    <xf numFmtId="0" fontId="8" fillId="15" borderId="22" xfId="0" applyFont="1" applyFill="1" applyBorder="1" applyAlignment="1" applyProtection="1">
      <alignment horizontal="left" vertical="center"/>
      <protection locked="0"/>
    </xf>
    <xf numFmtId="0" fontId="8" fillId="15" borderId="23" xfId="0" applyFont="1" applyFill="1" applyBorder="1" applyAlignment="1" applyProtection="1">
      <alignment horizontal="left" vertical="center"/>
      <protection locked="0"/>
    </xf>
    <xf numFmtId="0" fontId="8" fillId="17" borderId="22" xfId="0" applyFont="1" applyFill="1" applyBorder="1" applyAlignment="1" applyProtection="1">
      <alignment horizontal="left" vertical="center"/>
      <protection locked="0"/>
    </xf>
    <xf numFmtId="0" fontId="8" fillId="17" borderId="0" xfId="0" applyFont="1" applyFill="1" applyBorder="1" applyAlignment="1" applyProtection="1">
      <alignment horizontal="left" vertical="center"/>
      <protection locked="0"/>
    </xf>
    <xf numFmtId="0" fontId="8" fillId="17" borderId="4" xfId="0" applyFont="1" applyFill="1" applyBorder="1" applyAlignment="1" applyProtection="1">
      <alignment horizontal="left" vertical="center"/>
      <protection locked="0"/>
    </xf>
    <xf numFmtId="0" fontId="8" fillId="17" borderId="9" xfId="0" applyFont="1" applyFill="1" applyBorder="1" applyAlignment="1" applyProtection="1">
      <alignment vertical="center"/>
      <protection locked="0"/>
    </xf>
    <xf numFmtId="0" fontId="8" fillId="17" borderId="9" xfId="0" applyFont="1" applyFill="1" applyBorder="1" applyAlignment="1" applyProtection="1">
      <alignment horizontal="left" vertic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8" fillId="11" borderId="30" xfId="0" applyFont="1" applyFill="1" applyBorder="1" applyAlignment="1" applyProtection="1">
      <alignment horizontal="center" vertical="center"/>
      <protection locked="0"/>
    </xf>
    <xf numFmtId="0" fontId="4" fillId="19" borderId="7" xfId="0" applyFont="1" applyFill="1" applyBorder="1" applyAlignment="1" applyProtection="1">
      <alignment vertical="center" wrapText="1"/>
      <protection locked="0"/>
    </xf>
    <xf numFmtId="0" fontId="4" fillId="19" borderId="23" xfId="0" applyFont="1" applyFill="1" applyBorder="1" applyAlignment="1" applyProtection="1">
      <alignment vertical="center" wrapText="1"/>
      <protection locked="0"/>
    </xf>
    <xf numFmtId="0" fontId="4" fillId="19" borderId="18" xfId="0" applyFont="1" applyFill="1" applyBorder="1" applyAlignment="1" applyProtection="1">
      <alignment vertical="center" wrapText="1"/>
      <protection locked="0"/>
    </xf>
    <xf numFmtId="0" fontId="4" fillId="19" borderId="19" xfId="0" applyFont="1" applyFill="1" applyBorder="1" applyAlignment="1" applyProtection="1">
      <alignment vertical="center" wrapText="1"/>
      <protection locked="0"/>
    </xf>
    <xf numFmtId="0" fontId="4" fillId="19" borderId="21" xfId="0" applyFont="1" applyFill="1" applyBorder="1" applyAlignment="1" applyProtection="1">
      <alignment vertical="center" wrapText="1"/>
      <protection locked="0"/>
    </xf>
    <xf numFmtId="0" fontId="24" fillId="11" borderId="30" xfId="0" applyFont="1" applyFill="1" applyBorder="1" applyAlignment="1" applyProtection="1">
      <alignment horizontal="center" vertical="center" wrapText="1"/>
      <protection locked="0"/>
    </xf>
    <xf numFmtId="0" fontId="24" fillId="11" borderId="30" xfId="0" applyNumberFormat="1" applyFont="1" applyFill="1" applyBorder="1" applyAlignment="1" applyProtection="1">
      <alignment horizontal="center" vertical="center" wrapText="1"/>
      <protection locked="0"/>
    </xf>
    <xf numFmtId="165" fontId="17" fillId="15" borderId="0" xfId="0" applyNumberFormat="1" applyFont="1" applyFill="1" applyBorder="1" applyAlignment="1" applyProtection="1">
      <alignment horizontal="left" vertical="center"/>
    </xf>
    <xf numFmtId="0" fontId="8" fillId="13" borderId="0" xfId="0" applyFont="1" applyFill="1" applyBorder="1" applyAlignment="1" applyProtection="1">
      <alignment horizontal="center" vertical="center"/>
      <protection locked="0"/>
    </xf>
    <xf numFmtId="0" fontId="17" fillId="19" borderId="11" xfId="0" applyFont="1" applyFill="1" applyBorder="1" applyAlignment="1" applyProtection="1">
      <alignment horizontal="center" vertical="center"/>
      <protection locked="0"/>
    </xf>
    <xf numFmtId="0" fontId="17" fillId="19" borderId="21" xfId="0" applyFont="1" applyFill="1" applyBorder="1" applyAlignment="1" applyProtection="1">
      <alignment horizontal="center" vertical="center"/>
      <protection locked="0"/>
    </xf>
    <xf numFmtId="0" fontId="8" fillId="19" borderId="32" xfId="0" applyFont="1" applyFill="1" applyBorder="1" applyAlignment="1" applyProtection="1">
      <alignment horizontal="left" vertical="center"/>
      <protection locked="0"/>
    </xf>
    <xf numFmtId="0" fontId="8" fillId="19" borderId="12" xfId="0" applyFont="1" applyFill="1" applyBorder="1" applyAlignment="1" applyProtection="1">
      <alignment horizontal="left" vertical="center"/>
      <protection locked="0"/>
    </xf>
    <xf numFmtId="169" fontId="8" fillId="11" borderId="12" xfId="0" applyNumberFormat="1" applyFont="1" applyFill="1" applyBorder="1" applyAlignment="1" applyProtection="1">
      <alignment horizontal="center" vertical="center"/>
    </xf>
    <xf numFmtId="169" fontId="8" fillId="11" borderId="30" xfId="0" applyNumberFormat="1" applyFont="1" applyFill="1" applyBorder="1" applyAlignment="1" applyProtection="1">
      <alignment horizontal="center" vertical="center"/>
    </xf>
    <xf numFmtId="169" fontId="8" fillId="11" borderId="8" xfId="0" applyNumberFormat="1" applyFont="1" applyFill="1" applyBorder="1" applyAlignment="1" applyProtection="1">
      <alignment horizontal="center" vertical="center"/>
    </xf>
    <xf numFmtId="169" fontId="8" fillId="11" borderId="9" xfId="0" applyNumberFormat="1" applyFont="1" applyFill="1" applyBorder="1" applyAlignment="1" applyProtection="1">
      <alignment horizontal="center" vertical="center"/>
    </xf>
    <xf numFmtId="169" fontId="8" fillId="11" borderId="28" xfId="0" applyNumberFormat="1" applyFont="1" applyFill="1" applyBorder="1" applyAlignment="1" applyProtection="1">
      <alignment horizontal="center" vertical="center"/>
    </xf>
    <xf numFmtId="169" fontId="12" fillId="11" borderId="8" xfId="0" applyNumberFormat="1" applyFont="1" applyFill="1" applyBorder="1" applyAlignment="1" applyProtection="1">
      <alignment horizontal="center" vertical="center"/>
    </xf>
    <xf numFmtId="169" fontId="12" fillId="11" borderId="9" xfId="0" applyNumberFormat="1" applyFont="1" applyFill="1" applyBorder="1" applyAlignment="1" applyProtection="1">
      <alignment horizontal="center" vertical="center"/>
    </xf>
    <xf numFmtId="169" fontId="12" fillId="11" borderId="28" xfId="0" applyNumberFormat="1" applyFont="1" applyFill="1" applyBorder="1" applyAlignment="1" applyProtection="1">
      <alignment horizontal="center" vertical="center"/>
    </xf>
    <xf numFmtId="169" fontId="8" fillId="20" borderId="8" xfId="0" applyNumberFormat="1" applyFont="1" applyFill="1" applyBorder="1" applyAlignment="1" applyProtection="1">
      <alignment horizontal="center" vertical="center"/>
    </xf>
    <xf numFmtId="169" fontId="8" fillId="20" borderId="9" xfId="0" applyNumberFormat="1" applyFont="1" applyFill="1" applyBorder="1" applyAlignment="1" applyProtection="1">
      <alignment horizontal="center" vertical="center"/>
    </xf>
    <xf numFmtId="169" fontId="8" fillId="20" borderId="28" xfId="0" applyNumberFormat="1" applyFont="1" applyFill="1" applyBorder="1" applyAlignment="1" applyProtection="1">
      <alignment horizontal="center" vertical="center"/>
    </xf>
    <xf numFmtId="0" fontId="18" fillId="19" borderId="11" xfId="0" applyFont="1" applyFill="1" applyBorder="1" applyAlignment="1" applyProtection="1">
      <alignment horizontal="center" vertical="center" wrapText="1"/>
      <protection locked="0"/>
    </xf>
    <xf numFmtId="0" fontId="18" fillId="19" borderId="7" xfId="0" applyFont="1" applyFill="1" applyBorder="1" applyAlignment="1" applyProtection="1">
      <alignment horizontal="center" vertical="center" wrapText="1"/>
      <protection locked="0"/>
    </xf>
    <xf numFmtId="2" fontId="7" fillId="11" borderId="12" xfId="0" applyNumberFormat="1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8" fillId="11" borderId="9" xfId="0" applyFont="1" applyFill="1" applyBorder="1" applyAlignment="1" applyProtection="1">
      <alignment horizontal="center" vertical="center"/>
    </xf>
    <xf numFmtId="0" fontId="8" fillId="11" borderId="28" xfId="0" applyFont="1" applyFill="1" applyBorder="1" applyAlignment="1" applyProtection="1">
      <alignment horizontal="center" vertical="center"/>
    </xf>
    <xf numFmtId="0" fontId="8" fillId="21" borderId="8" xfId="0" applyFont="1" applyFill="1" applyBorder="1" applyAlignment="1" applyProtection="1">
      <alignment horizontal="center" vertical="center"/>
      <protection locked="0"/>
    </xf>
    <xf numFmtId="0" fontId="8" fillId="21" borderId="9" xfId="0" applyFont="1" applyFill="1" applyBorder="1" applyAlignment="1" applyProtection="1">
      <alignment horizontal="center" vertical="center"/>
      <protection locked="0"/>
    </xf>
    <xf numFmtId="0" fontId="8" fillId="21" borderId="28" xfId="0" applyFont="1" applyFill="1" applyBorder="1" applyAlignment="1" applyProtection="1">
      <alignment horizontal="center" vertical="center"/>
      <protection locked="0"/>
    </xf>
    <xf numFmtId="2" fontId="7" fillId="11" borderId="1" xfId="0" applyNumberFormat="1" applyFont="1" applyFill="1" applyBorder="1" applyAlignment="1" applyProtection="1">
      <alignment horizontal="center" vertical="center"/>
      <protection locked="0"/>
    </xf>
    <xf numFmtId="2" fontId="7" fillId="11" borderId="11" xfId="0" applyNumberFormat="1" applyFont="1" applyFill="1" applyBorder="1" applyAlignment="1" applyProtection="1">
      <alignment horizontal="center" vertical="center"/>
      <protection locked="0"/>
    </xf>
    <xf numFmtId="2" fontId="7" fillId="11" borderId="21" xfId="0" applyNumberFormat="1" applyFont="1" applyFill="1" applyBorder="1" applyAlignment="1" applyProtection="1">
      <alignment horizontal="center" vertical="center"/>
      <protection locked="0"/>
    </xf>
    <xf numFmtId="2" fontId="7" fillId="11" borderId="5" xfId="0" applyNumberFormat="1" applyFont="1" applyFill="1" applyBorder="1" applyAlignment="1" applyProtection="1">
      <alignment horizontal="center" vertical="center"/>
      <protection locked="0"/>
    </xf>
    <xf numFmtId="2" fontId="7" fillId="11" borderId="7" xfId="0" applyNumberFormat="1" applyFont="1" applyFill="1" applyBorder="1" applyAlignment="1" applyProtection="1">
      <alignment horizontal="center" vertical="center"/>
      <protection locked="0"/>
    </xf>
    <xf numFmtId="2" fontId="7" fillId="11" borderId="19" xfId="0" applyNumberFormat="1" applyFont="1" applyFill="1" applyBorder="1" applyAlignment="1" applyProtection="1">
      <alignment horizontal="center" vertical="center"/>
      <protection locked="0"/>
    </xf>
    <xf numFmtId="0" fontId="8" fillId="11" borderId="13" xfId="0" applyFont="1" applyFill="1" applyBorder="1" applyAlignment="1" applyProtection="1">
      <alignment horizontal="center" vertical="center"/>
      <protection locked="0"/>
    </xf>
    <xf numFmtId="0" fontId="8" fillId="11" borderId="31" xfId="0" applyFont="1" applyFill="1" applyBorder="1" applyAlignment="1" applyProtection="1">
      <alignment horizontal="center" vertical="center"/>
      <protection locked="0"/>
    </xf>
    <xf numFmtId="0" fontId="8" fillId="11" borderId="12" xfId="0" applyFont="1" applyFill="1" applyBorder="1" applyAlignment="1" applyProtection="1">
      <alignment horizontal="center" vertical="center"/>
      <protection locked="0"/>
    </xf>
    <xf numFmtId="0" fontId="8" fillId="11" borderId="30" xfId="0" applyFont="1" applyFill="1" applyBorder="1" applyAlignment="1" applyProtection="1">
      <alignment horizontal="center" vertical="center"/>
      <protection locked="0"/>
    </xf>
    <xf numFmtId="0" fontId="8" fillId="19" borderId="11" xfId="0" applyFont="1" applyFill="1" applyBorder="1" applyAlignment="1" applyProtection="1">
      <alignment horizontal="center" vertical="center"/>
      <protection locked="0"/>
    </xf>
    <xf numFmtId="0" fontId="8" fillId="19" borderId="2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left" vertical="center"/>
      <protection locked="0"/>
    </xf>
    <xf numFmtId="0" fontId="8" fillId="19" borderId="10" xfId="0" applyFont="1" applyFill="1" applyBorder="1" applyAlignment="1" applyProtection="1">
      <alignment horizontal="left" vertical="center"/>
      <protection locked="0"/>
    </xf>
    <xf numFmtId="0" fontId="4" fillId="15" borderId="20" xfId="0" applyFont="1" applyFill="1" applyBorder="1" applyAlignment="1" applyProtection="1">
      <alignment horizontal="center" vertical="center" textRotation="180"/>
      <protection locked="0"/>
    </xf>
    <xf numFmtId="0" fontId="4" fillId="15" borderId="21" xfId="0" applyFont="1" applyFill="1" applyBorder="1" applyAlignment="1" applyProtection="1">
      <alignment horizontal="center" vertical="center" textRotation="180"/>
      <protection locked="0"/>
    </xf>
    <xf numFmtId="0" fontId="4" fillId="15" borderId="22" xfId="0" applyFont="1" applyFill="1" applyBorder="1" applyAlignment="1" applyProtection="1">
      <alignment horizontal="center" vertical="center" textRotation="180"/>
      <protection locked="0"/>
    </xf>
    <xf numFmtId="0" fontId="4" fillId="15" borderId="23" xfId="0" applyFont="1" applyFill="1" applyBorder="1" applyAlignment="1" applyProtection="1">
      <alignment horizontal="center" vertical="center" textRotation="180"/>
      <protection locked="0"/>
    </xf>
    <xf numFmtId="0" fontId="7" fillId="19" borderId="11" xfId="0" applyFont="1" applyFill="1" applyBorder="1" applyAlignment="1" applyProtection="1">
      <alignment horizontal="left" vertical="center"/>
      <protection locked="0"/>
    </xf>
    <xf numFmtId="0" fontId="8" fillId="19" borderId="11" xfId="0" applyFont="1" applyFill="1" applyBorder="1" applyAlignment="1" applyProtection="1">
      <alignment horizontal="left" vertical="center"/>
      <protection locked="0"/>
    </xf>
    <xf numFmtId="0" fontId="7" fillId="19" borderId="20" xfId="0" applyFont="1" applyFill="1" applyBorder="1" applyAlignment="1" applyProtection="1">
      <alignment horizontal="center" vertical="center"/>
      <protection locked="0"/>
    </xf>
    <xf numFmtId="0" fontId="7" fillId="19" borderId="11" xfId="0" applyFont="1" applyFill="1" applyBorder="1" applyAlignment="1" applyProtection="1">
      <alignment horizontal="center" vertical="center"/>
      <protection locked="0"/>
    </xf>
    <xf numFmtId="0" fontId="4" fillId="19" borderId="20" xfId="0" applyFont="1" applyFill="1" applyBorder="1" applyAlignment="1" applyProtection="1">
      <alignment horizontal="center" vertical="center" textRotation="180"/>
      <protection locked="0"/>
    </xf>
    <xf numFmtId="0" fontId="4" fillId="19" borderId="21" xfId="0" applyFont="1" applyFill="1" applyBorder="1" applyAlignment="1" applyProtection="1">
      <alignment horizontal="center" vertical="center" textRotation="180"/>
      <protection locked="0"/>
    </xf>
    <xf numFmtId="0" fontId="4" fillId="19" borderId="22" xfId="0" applyFont="1" applyFill="1" applyBorder="1" applyAlignment="1" applyProtection="1">
      <alignment horizontal="center" vertical="center" textRotation="180"/>
      <protection locked="0"/>
    </xf>
    <xf numFmtId="0" fontId="4" fillId="19" borderId="23" xfId="0" applyFont="1" applyFill="1" applyBorder="1" applyAlignment="1" applyProtection="1">
      <alignment horizontal="center" vertical="center" textRotation="180"/>
      <protection locked="0"/>
    </xf>
    <xf numFmtId="0" fontId="4" fillId="17" borderId="20" xfId="0" applyFont="1" applyFill="1" applyBorder="1" applyAlignment="1" applyProtection="1">
      <alignment horizontal="center" vertical="center" textRotation="180" wrapText="1"/>
      <protection locked="0"/>
    </xf>
    <xf numFmtId="0" fontId="4" fillId="17" borderId="21" xfId="0" applyFont="1" applyFill="1" applyBorder="1" applyAlignment="1" applyProtection="1">
      <alignment horizontal="center" vertical="center" textRotation="180" wrapText="1"/>
      <protection locked="0"/>
    </xf>
    <xf numFmtId="0" fontId="4" fillId="17" borderId="22" xfId="0" applyFont="1" applyFill="1" applyBorder="1" applyAlignment="1" applyProtection="1">
      <alignment horizontal="center" vertical="center" textRotation="180" wrapText="1"/>
      <protection locked="0"/>
    </xf>
    <xf numFmtId="0" fontId="4" fillId="17" borderId="23" xfId="0" applyFont="1" applyFill="1" applyBorder="1" applyAlignment="1" applyProtection="1">
      <alignment horizontal="center" vertical="center" textRotation="180" wrapText="1"/>
      <protection locked="0"/>
    </xf>
    <xf numFmtId="0" fontId="4" fillId="17" borderId="18" xfId="0" applyFont="1" applyFill="1" applyBorder="1" applyAlignment="1" applyProtection="1">
      <alignment horizontal="center" vertical="center" textRotation="180" wrapText="1"/>
      <protection locked="0"/>
    </xf>
    <xf numFmtId="0" fontId="4" fillId="17" borderId="19" xfId="0" applyFont="1" applyFill="1" applyBorder="1" applyAlignment="1" applyProtection="1">
      <alignment horizontal="center" vertical="center" textRotation="180" wrapText="1"/>
      <protection locked="0"/>
    </xf>
    <xf numFmtId="0" fontId="8" fillId="17" borderId="22" xfId="0" applyFont="1" applyFill="1" applyBorder="1" applyAlignment="1" applyProtection="1">
      <alignment horizontal="left" vertical="center"/>
      <protection locked="0"/>
    </xf>
    <xf numFmtId="0" fontId="8" fillId="17" borderId="0" xfId="0" applyFont="1" applyFill="1" applyBorder="1" applyAlignment="1" applyProtection="1">
      <alignment horizontal="left" vertical="center"/>
      <protection locked="0"/>
    </xf>
    <xf numFmtId="0" fontId="8" fillId="19" borderId="22" xfId="0" applyFont="1" applyFill="1" applyBorder="1" applyAlignment="1" applyProtection="1">
      <alignment horizontal="left" vertical="center"/>
      <protection locked="0"/>
    </xf>
    <xf numFmtId="0" fontId="8" fillId="19" borderId="0" xfId="0" applyFont="1" applyFill="1" applyBorder="1" applyAlignment="1" applyProtection="1">
      <alignment horizontal="left" vertical="center"/>
      <protection locked="0"/>
    </xf>
    <xf numFmtId="0" fontId="8" fillId="17" borderId="9" xfId="0" applyFont="1" applyFill="1" applyBorder="1" applyAlignment="1" applyProtection="1">
      <alignment vertical="center"/>
      <protection locked="0"/>
    </xf>
    <xf numFmtId="0" fontId="8" fillId="17" borderId="4" xfId="0" applyFont="1" applyFill="1" applyBorder="1" applyAlignment="1" applyProtection="1">
      <alignment horizontal="left" vertical="center"/>
      <protection locked="0"/>
    </xf>
    <xf numFmtId="0" fontId="8" fillId="17" borderId="27" xfId="0" applyFont="1" applyFill="1" applyBorder="1" applyAlignment="1" applyProtection="1">
      <alignment vertical="center"/>
      <protection locked="0"/>
    </xf>
    <xf numFmtId="0" fontId="7" fillId="17" borderId="27" xfId="0" applyFont="1" applyFill="1" applyBorder="1" applyAlignment="1" applyProtection="1">
      <alignment horizontal="left" vertical="center"/>
      <protection locked="0"/>
    </xf>
    <xf numFmtId="0" fontId="8" fillId="17" borderId="9" xfId="0" applyFont="1" applyFill="1" applyBorder="1" applyAlignment="1" applyProtection="1">
      <alignment horizontal="left" vertical="center"/>
      <protection locked="0"/>
    </xf>
    <xf numFmtId="0" fontId="8" fillId="17" borderId="9" xfId="0" applyFont="1" applyFill="1" applyBorder="1" applyAlignment="1" applyProtection="1">
      <alignment horizontal="center" vertical="center"/>
      <protection locked="0"/>
    </xf>
    <xf numFmtId="0" fontId="8" fillId="0" borderId="32" xfId="0" applyFont="1" applyFill="1" applyBorder="1" applyAlignment="1" applyProtection="1">
      <alignment horizontal="left" vertical="center"/>
      <protection locked="0"/>
    </xf>
    <xf numFmtId="0" fontId="8" fillId="0" borderId="12" xfId="0" applyFont="1" applyFill="1" applyBorder="1" applyAlignment="1" applyProtection="1">
      <alignment horizontal="left" vertical="center"/>
      <protection locked="0"/>
    </xf>
    <xf numFmtId="0" fontId="7" fillId="15" borderId="22" xfId="0" applyFont="1" applyFill="1" applyBorder="1" applyAlignment="1" applyProtection="1">
      <alignment horizontal="center" vertical="center" wrapText="1"/>
      <protection locked="0"/>
    </xf>
    <xf numFmtId="0" fontId="7" fillId="15" borderId="0" xfId="0" applyFont="1" applyFill="1" applyBorder="1" applyAlignment="1" applyProtection="1">
      <alignment horizontal="center" vertical="center" wrapText="1"/>
      <protection locked="0"/>
    </xf>
    <xf numFmtId="0" fontId="7" fillId="15" borderId="20" xfId="0" applyFont="1" applyFill="1" applyBorder="1" applyAlignment="1" applyProtection="1">
      <alignment horizontal="center" vertical="center"/>
      <protection locked="0"/>
    </xf>
    <xf numFmtId="0" fontId="7" fillId="15" borderId="11" xfId="0" applyFont="1" applyFill="1" applyBorder="1" applyAlignment="1" applyProtection="1">
      <alignment horizontal="center" vertical="center"/>
      <protection locked="0"/>
    </xf>
    <xf numFmtId="0" fontId="7" fillId="15" borderId="21" xfId="0" applyFont="1" applyFill="1" applyBorder="1" applyAlignment="1" applyProtection="1">
      <alignment horizontal="center" vertical="center"/>
      <protection locked="0"/>
    </xf>
    <xf numFmtId="0" fontId="21" fillId="15" borderId="18" xfId="0" applyFont="1" applyFill="1" applyBorder="1" applyAlignment="1" applyProtection="1">
      <alignment horizontal="center" vertical="center"/>
      <protection locked="0"/>
    </xf>
    <xf numFmtId="0" fontId="21" fillId="15" borderId="7" xfId="0" applyFont="1" applyFill="1" applyBorder="1" applyAlignment="1" applyProtection="1">
      <alignment horizontal="center" vertical="center"/>
      <protection locked="0"/>
    </xf>
    <xf numFmtId="0" fontId="21" fillId="15" borderId="19" xfId="0" applyFont="1" applyFill="1" applyBorder="1" applyAlignment="1" applyProtection="1">
      <alignment horizontal="center" vertical="center"/>
      <protection locked="0"/>
    </xf>
    <xf numFmtId="0" fontId="8" fillId="17" borderId="20" xfId="0" applyFont="1" applyFill="1" applyBorder="1" applyAlignment="1" applyProtection="1">
      <alignment vertical="center"/>
      <protection locked="0"/>
    </xf>
    <xf numFmtId="0" fontId="0" fillId="17" borderId="11" xfId="0" applyFill="1" applyBorder="1" applyAlignment="1" applyProtection="1">
      <alignment vertical="center"/>
      <protection locked="0"/>
    </xf>
    <xf numFmtId="0" fontId="0" fillId="17" borderId="2" xfId="0" applyFill="1" applyBorder="1" applyAlignment="1" applyProtection="1">
      <alignment vertical="center"/>
      <protection locked="0"/>
    </xf>
    <xf numFmtId="0" fontId="7" fillId="17" borderId="9" xfId="0" applyFont="1" applyFill="1" applyBorder="1" applyAlignment="1" applyProtection="1">
      <alignment horizontal="left" vertical="center"/>
      <protection locked="0"/>
    </xf>
    <xf numFmtId="0" fontId="13" fillId="18" borderId="20" xfId="0" applyFont="1" applyFill="1" applyBorder="1" applyAlignment="1" applyProtection="1">
      <alignment horizontal="center" vertical="center" textRotation="180"/>
      <protection locked="0"/>
    </xf>
    <xf numFmtId="0" fontId="13" fillId="18" borderId="21" xfId="0" applyFont="1" applyFill="1" applyBorder="1" applyAlignment="1" applyProtection="1">
      <alignment horizontal="center" vertical="center" textRotation="180"/>
      <protection locked="0"/>
    </xf>
    <xf numFmtId="0" fontId="13" fillId="18" borderId="22" xfId="0" applyFont="1" applyFill="1" applyBorder="1" applyAlignment="1" applyProtection="1">
      <alignment horizontal="center" vertical="center" textRotation="180"/>
      <protection locked="0"/>
    </xf>
    <xf numFmtId="0" fontId="13" fillId="18" borderId="23" xfId="0" applyFont="1" applyFill="1" applyBorder="1" applyAlignment="1" applyProtection="1">
      <alignment horizontal="center" vertical="center" textRotation="180"/>
      <protection locked="0"/>
    </xf>
    <xf numFmtId="0" fontId="7" fillId="18" borderId="20" xfId="0" applyFont="1" applyFill="1" applyBorder="1" applyAlignment="1" applyProtection="1">
      <alignment horizontal="center" vertical="center" wrapText="1"/>
      <protection locked="0"/>
    </xf>
    <xf numFmtId="0" fontId="7" fillId="18" borderId="11" xfId="0" applyFont="1" applyFill="1" applyBorder="1" applyAlignment="1" applyProtection="1">
      <alignment horizontal="center" vertical="center" wrapText="1"/>
      <protection locked="0"/>
    </xf>
    <xf numFmtId="0" fontId="7" fillId="18" borderId="22" xfId="0" applyFont="1" applyFill="1" applyBorder="1" applyAlignment="1" applyProtection="1">
      <alignment horizontal="center" vertical="center" wrapText="1"/>
      <protection locked="0"/>
    </xf>
    <xf numFmtId="0" fontId="7" fillId="18" borderId="0" xfId="0" applyFont="1" applyFill="1" applyBorder="1" applyAlignment="1" applyProtection="1">
      <alignment horizontal="center" vertical="center" wrapText="1"/>
      <protection locked="0"/>
    </xf>
    <xf numFmtId="0" fontId="8" fillId="18" borderId="27" xfId="0" applyFont="1" applyFill="1" applyBorder="1" applyAlignment="1" applyProtection="1">
      <alignment horizontal="left" vertical="center"/>
      <protection locked="0"/>
    </xf>
    <xf numFmtId="0" fontId="8" fillId="18" borderId="9" xfId="0" applyFont="1" applyFill="1" applyBorder="1" applyAlignment="1" applyProtection="1">
      <alignment horizontal="left" vertical="center"/>
      <protection locked="0"/>
    </xf>
    <xf numFmtId="0" fontId="8" fillId="18" borderId="10" xfId="0" applyFont="1" applyFill="1" applyBorder="1" applyAlignment="1" applyProtection="1">
      <alignment horizontal="left" vertical="center"/>
      <protection locked="0"/>
    </xf>
    <xf numFmtId="0" fontId="8" fillId="18" borderId="27" xfId="0" applyFont="1" applyFill="1" applyBorder="1" applyAlignment="1" applyProtection="1">
      <alignment vertical="center"/>
      <protection locked="0"/>
    </xf>
    <xf numFmtId="0" fontId="8" fillId="18" borderId="9" xfId="0" applyFont="1" applyFill="1" applyBorder="1" applyAlignment="1" applyProtection="1">
      <alignment vertical="center"/>
      <protection locked="0"/>
    </xf>
    <xf numFmtId="0" fontId="8" fillId="18" borderId="10" xfId="0" applyFont="1" applyFill="1" applyBorder="1" applyAlignment="1" applyProtection="1">
      <alignment vertical="center"/>
      <protection locked="0"/>
    </xf>
    <xf numFmtId="0" fontId="8" fillId="18" borderId="20" xfId="0" applyFont="1" applyFill="1" applyBorder="1" applyAlignment="1" applyProtection="1">
      <alignment horizontal="center" vertical="center" wrapText="1"/>
      <protection locked="0"/>
    </xf>
    <xf numFmtId="0" fontId="8" fillId="18" borderId="11" xfId="0" applyFont="1" applyFill="1" applyBorder="1" applyAlignment="1" applyProtection="1">
      <alignment horizontal="center" vertical="center" wrapText="1"/>
      <protection locked="0"/>
    </xf>
    <xf numFmtId="0" fontId="8" fillId="18" borderId="21" xfId="0" applyFont="1" applyFill="1" applyBorder="1" applyAlignment="1" applyProtection="1">
      <alignment horizontal="center" vertical="center" wrapText="1"/>
      <protection locked="0"/>
    </xf>
    <xf numFmtId="0" fontId="8" fillId="18" borderId="35" xfId="0" applyFont="1" applyFill="1" applyBorder="1" applyAlignment="1" applyProtection="1">
      <alignment horizontal="center" vertical="center" wrapText="1"/>
      <protection locked="0"/>
    </xf>
    <xf numFmtId="0" fontId="8" fillId="18" borderId="36" xfId="0" applyFont="1" applyFill="1" applyBorder="1" applyAlignment="1" applyProtection="1">
      <alignment horizontal="center" vertical="center" wrapText="1"/>
      <protection locked="0"/>
    </xf>
    <xf numFmtId="0" fontId="8" fillId="18" borderId="37" xfId="0" applyFont="1" applyFill="1" applyBorder="1" applyAlignment="1" applyProtection="1">
      <alignment horizontal="center" vertical="center" wrapText="1"/>
      <protection locked="0"/>
    </xf>
    <xf numFmtId="3" fontId="8" fillId="11" borderId="12" xfId="0" applyNumberFormat="1" applyFont="1" applyFill="1" applyBorder="1" applyAlignment="1" applyProtection="1">
      <alignment horizontal="center" vertical="center"/>
    </xf>
    <xf numFmtId="0" fontId="8" fillId="19" borderId="20" xfId="0" applyFont="1" applyFill="1" applyBorder="1" applyAlignment="1" applyProtection="1">
      <alignment horizontal="center" vertical="center" wrapText="1"/>
      <protection locked="0"/>
    </xf>
    <xf numFmtId="0" fontId="8" fillId="19" borderId="11" xfId="0" applyFont="1" applyFill="1" applyBorder="1" applyAlignment="1" applyProtection="1">
      <alignment horizontal="center" vertical="center" wrapText="1"/>
      <protection locked="0"/>
    </xf>
    <xf numFmtId="0" fontId="8" fillId="19" borderId="21" xfId="0" applyFont="1" applyFill="1" applyBorder="1" applyAlignment="1" applyProtection="1">
      <alignment horizontal="center" vertical="center" wrapText="1"/>
      <protection locked="0"/>
    </xf>
    <xf numFmtId="0" fontId="0" fillId="19" borderId="18" xfId="0" applyFill="1" applyBorder="1" applyAlignment="1" applyProtection="1">
      <alignment horizontal="center" vertical="center" wrapText="1"/>
      <protection locked="0"/>
    </xf>
    <xf numFmtId="0" fontId="0" fillId="19" borderId="7" xfId="0" applyFill="1" applyBorder="1" applyAlignment="1" applyProtection="1">
      <alignment horizontal="center" vertical="center" wrapText="1"/>
      <protection locked="0"/>
    </xf>
    <xf numFmtId="0" fontId="0" fillId="19" borderId="19" xfId="0" applyFill="1" applyBorder="1" applyAlignment="1" applyProtection="1">
      <alignment horizontal="center" vertical="center" wrapText="1"/>
      <protection locked="0"/>
    </xf>
    <xf numFmtId="0" fontId="7" fillId="19" borderId="20" xfId="0" applyFont="1" applyFill="1" applyBorder="1" applyAlignment="1" applyProtection="1">
      <alignment horizontal="left" vertical="center"/>
      <protection locked="0"/>
    </xf>
    <xf numFmtId="0" fontId="8" fillId="11" borderId="12" xfId="0" applyFont="1" applyFill="1" applyBorder="1" applyAlignment="1" applyProtection="1">
      <alignment horizontal="center" vertical="center"/>
    </xf>
    <xf numFmtId="0" fontId="8" fillId="21" borderId="12" xfId="0" applyFont="1" applyFill="1" applyBorder="1" applyAlignment="1" applyProtection="1">
      <alignment horizontal="center" vertical="center"/>
      <protection locked="0"/>
    </xf>
    <xf numFmtId="0" fontId="24" fillId="19" borderId="20" xfId="0" applyFont="1" applyFill="1" applyBorder="1" applyAlignment="1" applyProtection="1">
      <alignment horizontal="center" vertical="center" wrapText="1"/>
      <protection locked="0"/>
    </xf>
    <xf numFmtId="0" fontId="24" fillId="19" borderId="11" xfId="0" applyFont="1" applyFill="1" applyBorder="1" applyAlignment="1" applyProtection="1">
      <alignment horizontal="center" vertical="center" wrapText="1"/>
      <protection locked="0"/>
    </xf>
    <xf numFmtId="0" fontId="24" fillId="19" borderId="22" xfId="0" applyFont="1" applyFill="1" applyBorder="1" applyAlignment="1" applyProtection="1">
      <alignment horizontal="center" vertical="center" wrapText="1"/>
      <protection locked="0"/>
    </xf>
    <xf numFmtId="0" fontId="24" fillId="19" borderId="0" xfId="0" applyFont="1" applyFill="1" applyBorder="1" applyAlignment="1" applyProtection="1">
      <alignment horizontal="center" vertical="center" wrapText="1"/>
      <protection locked="0"/>
    </xf>
    <xf numFmtId="169" fontId="8" fillId="11" borderId="12" xfId="0" applyNumberFormat="1" applyFont="1" applyFill="1" applyBorder="1" applyAlignment="1" applyProtection="1">
      <alignment horizontal="center" vertical="center"/>
      <protection locked="0"/>
    </xf>
    <xf numFmtId="0" fontId="7" fillId="17" borderId="6" xfId="0" applyFont="1" applyFill="1" applyBorder="1" applyAlignment="1" applyProtection="1">
      <alignment horizontal="left" vertical="center"/>
      <protection locked="0"/>
    </xf>
    <xf numFmtId="0" fontId="7" fillId="17" borderId="15" xfId="0" applyFont="1" applyFill="1" applyBorder="1" applyAlignment="1" applyProtection="1">
      <alignment horizontal="left" vertical="center"/>
      <protection locked="0"/>
    </xf>
    <xf numFmtId="0" fontId="17" fillId="18" borderId="11" xfId="0" applyFont="1" applyFill="1" applyBorder="1" applyAlignment="1" applyProtection="1">
      <alignment horizontal="center" vertical="center"/>
      <protection locked="0"/>
    </xf>
    <xf numFmtId="0" fontId="17" fillId="18" borderId="21" xfId="0" applyFont="1" applyFill="1" applyBorder="1" applyAlignment="1" applyProtection="1">
      <alignment horizontal="center" vertical="center"/>
      <protection locked="0"/>
    </xf>
    <xf numFmtId="0" fontId="3" fillId="0" borderId="34" xfId="0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3" fontId="8" fillId="11" borderId="30" xfId="0" applyNumberFormat="1" applyFont="1" applyFill="1" applyBorder="1" applyAlignment="1" applyProtection="1">
      <alignment horizontal="center" vertical="center"/>
    </xf>
    <xf numFmtId="0" fontId="17" fillId="15" borderId="12" xfId="0" applyFont="1" applyFill="1" applyBorder="1" applyAlignment="1" applyProtection="1">
      <alignment horizontal="center" vertical="center"/>
      <protection locked="0"/>
    </xf>
    <xf numFmtId="0" fontId="17" fillId="15" borderId="30" xfId="0" applyFont="1" applyFill="1" applyBorder="1" applyAlignment="1" applyProtection="1">
      <alignment horizontal="center" vertical="center"/>
      <protection locked="0"/>
    </xf>
    <xf numFmtId="0" fontId="17" fillId="15" borderId="9" xfId="0" applyFont="1" applyFill="1" applyBorder="1" applyAlignment="1" applyProtection="1">
      <alignment horizontal="center" vertical="center"/>
      <protection locked="0"/>
    </xf>
    <xf numFmtId="0" fontId="17" fillId="15" borderId="28" xfId="0" applyFont="1" applyFill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7" fillId="15" borderId="27" xfId="0" applyFont="1" applyFill="1" applyBorder="1" applyAlignment="1" applyProtection="1">
      <alignment horizontal="left" vertical="center"/>
      <protection locked="0"/>
    </xf>
    <xf numFmtId="0" fontId="8" fillId="15" borderId="9" xfId="0" applyFont="1" applyFill="1" applyBorder="1" applyAlignment="1" applyProtection="1">
      <alignment horizontal="left" vertical="center"/>
      <protection locked="0"/>
    </xf>
    <xf numFmtId="0" fontId="7" fillId="15" borderId="9" xfId="0" applyFont="1" applyFill="1" applyBorder="1" applyAlignment="1" applyProtection="1">
      <alignment horizontal="left" vertical="center"/>
      <protection locked="0"/>
    </xf>
    <xf numFmtId="0" fontId="8" fillId="15" borderId="20" xfId="0" applyFont="1" applyFill="1" applyBorder="1" applyAlignment="1" applyProtection="1">
      <alignment horizontal="center" vertical="center" wrapText="1"/>
      <protection locked="0"/>
    </xf>
    <xf numFmtId="0" fontId="8" fillId="15" borderId="11" xfId="0" applyFont="1" applyFill="1" applyBorder="1" applyAlignment="1" applyProtection="1">
      <alignment horizontal="center" vertical="center" wrapText="1"/>
      <protection locked="0"/>
    </xf>
    <xf numFmtId="0" fontId="8" fillId="15" borderId="22" xfId="0" applyFont="1" applyFill="1" applyBorder="1" applyAlignment="1" applyProtection="1">
      <alignment horizontal="center" vertical="center" wrapText="1"/>
      <protection locked="0"/>
    </xf>
    <xf numFmtId="0" fontId="8" fillId="15" borderId="0" xfId="0" applyFont="1" applyFill="1" applyBorder="1" applyAlignment="1" applyProtection="1">
      <alignment horizontal="center" vertical="center" wrapText="1"/>
      <protection locked="0"/>
    </xf>
    <xf numFmtId="0" fontId="8" fillId="16" borderId="27" xfId="0" applyFont="1" applyFill="1" applyBorder="1" applyAlignment="1" applyProtection="1">
      <alignment horizontal="center" vertical="center"/>
      <protection locked="0"/>
    </xf>
    <xf numFmtId="0" fontId="8" fillId="16" borderId="9" xfId="0" applyFont="1" applyFill="1" applyBorder="1" applyAlignment="1" applyProtection="1">
      <alignment horizontal="center" vertical="center"/>
      <protection locked="0"/>
    </xf>
    <xf numFmtId="0" fontId="6" fillId="15" borderId="11" xfId="0" applyFont="1" applyFill="1" applyBorder="1" applyAlignment="1" applyProtection="1">
      <alignment horizontal="center" vertical="center"/>
      <protection locked="0"/>
    </xf>
    <xf numFmtId="0" fontId="6" fillId="15" borderId="0" xfId="0" applyFont="1" applyFill="1" applyBorder="1" applyAlignment="1" applyProtection="1">
      <alignment horizontal="center" vertical="center"/>
      <protection locked="0"/>
    </xf>
    <xf numFmtId="0" fontId="8" fillId="15" borderId="9" xfId="0" applyFont="1" applyFill="1" applyBorder="1" applyAlignment="1" applyProtection="1">
      <alignment horizontal="center" vertical="center"/>
      <protection locked="0"/>
    </xf>
    <xf numFmtId="0" fontId="8" fillId="15" borderId="20" xfId="0" applyFont="1" applyFill="1" applyBorder="1" applyAlignment="1" applyProtection="1">
      <alignment horizontal="left" vertical="center"/>
      <protection locked="0"/>
    </xf>
    <xf numFmtId="0" fontId="8" fillId="15" borderId="11" xfId="0" applyFont="1" applyFill="1" applyBorder="1" applyAlignment="1" applyProtection="1">
      <alignment horizontal="left" vertical="center"/>
      <protection locked="0"/>
    </xf>
    <xf numFmtId="0" fontId="0" fillId="15" borderId="11" xfId="0" applyFont="1" applyFill="1" applyBorder="1" applyAlignment="1" applyProtection="1">
      <alignment vertical="center"/>
      <protection locked="0"/>
    </xf>
    <xf numFmtId="0" fontId="0" fillId="15" borderId="21" xfId="0" applyFont="1" applyFill="1" applyBorder="1" applyAlignment="1" applyProtection="1">
      <alignment vertical="center"/>
      <protection locked="0"/>
    </xf>
    <xf numFmtId="0" fontId="15" fillId="15" borderId="20" xfId="0" applyFont="1" applyFill="1" applyBorder="1" applyAlignment="1" applyProtection="1">
      <alignment horizontal="left" vertical="center" wrapText="1"/>
      <protection locked="0"/>
    </xf>
    <xf numFmtId="0" fontId="15" fillId="15" borderId="11" xfId="0" applyFont="1" applyFill="1" applyBorder="1" applyAlignment="1" applyProtection="1">
      <alignment horizontal="left" vertical="center" wrapText="1"/>
      <protection locked="0"/>
    </xf>
    <xf numFmtId="0" fontId="15" fillId="15" borderId="2" xfId="0" applyFont="1" applyFill="1" applyBorder="1" applyAlignment="1" applyProtection="1">
      <alignment horizontal="left" vertical="center" wrapText="1"/>
      <protection locked="0"/>
    </xf>
    <xf numFmtId="0" fontId="15" fillId="15" borderId="18" xfId="0" applyFont="1" applyFill="1" applyBorder="1" applyAlignment="1" applyProtection="1">
      <alignment horizontal="left" vertical="center"/>
      <protection locked="0"/>
    </xf>
    <xf numFmtId="0" fontId="15" fillId="15" borderId="7" xfId="0" applyFont="1" applyFill="1" applyBorder="1" applyAlignment="1" applyProtection="1">
      <alignment horizontal="left" vertical="center"/>
      <protection locked="0"/>
    </xf>
    <xf numFmtId="0" fontId="15" fillId="15" borderId="6" xfId="0" applyFont="1" applyFill="1" applyBorder="1" applyAlignment="1" applyProtection="1">
      <alignment horizontal="left" vertical="center"/>
      <protection locked="0"/>
    </xf>
    <xf numFmtId="0" fontId="8" fillId="15" borderId="22" xfId="0" applyFont="1" applyFill="1" applyBorder="1" applyAlignment="1" applyProtection="1">
      <alignment horizontal="left" vertical="center" wrapText="1"/>
      <protection locked="0"/>
    </xf>
    <xf numFmtId="0" fontId="0" fillId="15" borderId="0" xfId="0" applyFill="1" applyBorder="1" applyAlignment="1" applyProtection="1">
      <alignment horizontal="left" vertical="center"/>
      <protection locked="0"/>
    </xf>
    <xf numFmtId="0" fontId="0" fillId="15" borderId="4" xfId="0" applyFill="1" applyBorder="1" applyAlignment="1" applyProtection="1">
      <alignment horizontal="left" vertical="center"/>
      <protection locked="0"/>
    </xf>
    <xf numFmtId="0" fontId="8" fillId="16" borderId="20" xfId="0" applyFont="1" applyFill="1" applyBorder="1" applyAlignment="1" applyProtection="1">
      <alignment horizontal="center" vertical="center"/>
      <protection locked="0"/>
    </xf>
    <xf numFmtId="0" fontId="8" fillId="16" borderId="11" xfId="0" applyFont="1" applyFill="1" applyBorder="1" applyAlignment="1" applyProtection="1">
      <alignment horizontal="center" vertical="center"/>
      <protection locked="0"/>
    </xf>
    <xf numFmtId="0" fontId="8" fillId="16" borderId="21" xfId="0" applyFont="1" applyFill="1" applyBorder="1" applyAlignment="1" applyProtection="1">
      <alignment horizontal="center" vertical="center"/>
      <protection locked="0"/>
    </xf>
    <xf numFmtId="0" fontId="8" fillId="15" borderId="22" xfId="0" applyFont="1" applyFill="1" applyBorder="1" applyAlignment="1">
      <alignment horizontal="center" vertical="center" wrapText="1"/>
    </xf>
    <xf numFmtId="0" fontId="8" fillId="15" borderId="0" xfId="0" applyFont="1" applyFill="1" applyBorder="1" applyAlignment="1">
      <alignment horizontal="center" vertical="center" wrapText="1"/>
    </xf>
    <xf numFmtId="0" fontId="8" fillId="15" borderId="18" xfId="0" applyFont="1" applyFill="1" applyBorder="1" applyAlignment="1" applyProtection="1">
      <alignment horizontal="left" vertical="center" wrapText="1"/>
      <protection locked="0"/>
    </xf>
    <xf numFmtId="0" fontId="8" fillId="15" borderId="7" xfId="0" applyFont="1" applyFill="1" applyBorder="1" applyAlignment="1" applyProtection="1">
      <alignment horizontal="left" vertical="center"/>
      <protection locked="0"/>
    </xf>
    <xf numFmtId="0" fontId="0" fillId="15" borderId="7" xfId="0" applyFont="1" applyFill="1" applyBorder="1" applyAlignment="1" applyProtection="1">
      <alignment horizontal="left" vertical="center"/>
      <protection locked="0"/>
    </xf>
    <xf numFmtId="0" fontId="0" fillId="15" borderId="19" xfId="0" applyFont="1" applyFill="1" applyBorder="1" applyAlignment="1" applyProtection="1">
      <alignment horizontal="left" vertical="center"/>
      <protection locked="0"/>
    </xf>
    <xf numFmtId="0" fontId="8" fillId="15" borderId="0" xfId="0" applyFont="1" applyFill="1" applyBorder="1" applyAlignment="1" applyProtection="1">
      <alignment horizontal="left" vertical="center" wrapText="1"/>
      <protection locked="0"/>
    </xf>
    <xf numFmtId="0" fontId="8" fillId="15" borderId="4" xfId="0" applyFont="1" applyFill="1" applyBorder="1" applyAlignment="1" applyProtection="1">
      <alignment horizontal="left" vertical="center" wrapText="1"/>
      <protection locked="0"/>
    </xf>
    <xf numFmtId="0" fontId="4" fillId="13" borderId="16" xfId="0" applyFont="1" applyFill="1" applyBorder="1" applyAlignment="1" applyProtection="1">
      <alignment horizontal="center" vertical="center" textRotation="180"/>
      <protection locked="0"/>
    </xf>
    <xf numFmtId="0" fontId="4" fillId="13" borderId="17" xfId="0" applyFont="1" applyFill="1" applyBorder="1" applyAlignment="1" applyProtection="1">
      <alignment horizontal="center" vertical="center" textRotation="180"/>
      <protection locked="0"/>
    </xf>
    <xf numFmtId="0" fontId="4" fillId="13" borderId="18" xfId="0" applyFont="1" applyFill="1" applyBorder="1" applyAlignment="1" applyProtection="1">
      <alignment horizontal="center" vertical="center" textRotation="180"/>
      <protection locked="0"/>
    </xf>
    <xf numFmtId="0" fontId="4" fillId="13" borderId="19" xfId="0" applyFont="1" applyFill="1" applyBorder="1" applyAlignment="1" applyProtection="1">
      <alignment horizontal="center" vertical="center" textRotation="180"/>
      <protection locked="0"/>
    </xf>
    <xf numFmtId="0" fontId="8" fillId="13" borderId="22" xfId="0" applyFont="1" applyFill="1" applyBorder="1" applyAlignment="1" applyProtection="1">
      <alignment horizontal="center" vertical="center"/>
      <protection locked="0"/>
    </xf>
    <xf numFmtId="0" fontId="15" fillId="15" borderId="22" xfId="0" applyFont="1" applyFill="1" applyBorder="1" applyAlignment="1" applyProtection="1">
      <alignment horizontal="left" vertical="center" wrapText="1"/>
      <protection locked="0"/>
    </xf>
    <xf numFmtId="0" fontId="0" fillId="15" borderId="0" xfId="0" applyFont="1" applyFill="1" applyBorder="1" applyAlignment="1" applyProtection="1">
      <alignment horizontal="left" vertical="center"/>
      <protection locked="0"/>
    </xf>
    <xf numFmtId="0" fontId="8" fillId="15" borderId="20" xfId="0" applyFont="1" applyFill="1" applyBorder="1" applyAlignment="1" applyProtection="1">
      <alignment horizontal="left" vertical="center" wrapText="1"/>
      <protection locked="0"/>
    </xf>
    <xf numFmtId="0" fontId="8" fillId="15" borderId="11" xfId="0" applyFont="1" applyFill="1" applyBorder="1" applyAlignment="1" applyProtection="1">
      <alignment horizontal="left" vertical="center" wrapText="1"/>
      <protection locked="0"/>
    </xf>
    <xf numFmtId="0" fontId="8" fillId="15" borderId="2" xfId="0" applyFont="1" applyFill="1" applyBorder="1" applyAlignment="1" applyProtection="1">
      <alignment horizontal="left" vertical="center" wrapText="1"/>
      <protection locked="0"/>
    </xf>
    <xf numFmtId="0" fontId="8" fillId="15" borderId="0" xfId="0" applyFont="1" applyFill="1" applyBorder="1" applyAlignment="1" applyProtection="1">
      <alignment horizontal="left" vertical="center"/>
      <protection locked="0"/>
    </xf>
    <xf numFmtId="0" fontId="8" fillId="15" borderId="4" xfId="0" applyFont="1" applyFill="1" applyBorder="1" applyAlignment="1" applyProtection="1">
      <alignment horizontal="left" vertical="center"/>
      <protection locked="0"/>
    </xf>
    <xf numFmtId="0" fontId="8" fillId="15" borderId="22" xfId="0" applyFont="1" applyFill="1" applyBorder="1" applyAlignment="1" applyProtection="1">
      <alignment horizontal="left" vertical="center"/>
      <protection locked="0"/>
    </xf>
    <xf numFmtId="0" fontId="8" fillId="15" borderId="23" xfId="0" applyFont="1" applyFill="1" applyBorder="1" applyAlignment="1" applyProtection="1">
      <alignment horizontal="left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21" fillId="15" borderId="9" xfId="0" applyFont="1" applyFill="1" applyBorder="1" applyAlignment="1" applyProtection="1">
      <alignment horizontal="center" vertical="center"/>
      <protection locked="0"/>
    </xf>
    <xf numFmtId="0" fontId="21" fillId="15" borderId="10" xfId="0" applyFont="1" applyFill="1" applyBorder="1" applyAlignment="1" applyProtection="1">
      <alignment horizontal="center" vertical="center"/>
      <protection locked="0"/>
    </xf>
    <xf numFmtId="0" fontId="15" fillId="15" borderId="11" xfId="0" applyFont="1" applyFill="1" applyBorder="1" applyAlignment="1" applyProtection="1">
      <alignment horizontal="left" vertical="center"/>
      <protection locked="0"/>
    </xf>
    <xf numFmtId="0" fontId="15" fillId="15" borderId="2" xfId="0" applyFont="1" applyFill="1" applyBorder="1" applyAlignment="1" applyProtection="1">
      <alignment horizontal="left" vertical="center"/>
      <protection locked="0"/>
    </xf>
    <xf numFmtId="0" fontId="21" fillId="15" borderId="11" xfId="0" applyFont="1" applyFill="1" applyBorder="1" applyAlignment="1" applyProtection="1">
      <alignment horizontal="center" vertical="center"/>
      <protection locked="0"/>
    </xf>
    <xf numFmtId="0" fontId="7" fillId="5" borderId="3" xfId="0" applyFont="1" applyFill="1" applyBorder="1" applyAlignment="1" applyProtection="1">
      <alignment horizontal="left" vertical="center" wrapText="1"/>
      <protection locked="0"/>
    </xf>
    <xf numFmtId="0" fontId="7" fillId="5" borderId="0" xfId="0" applyFont="1" applyFill="1" applyBorder="1" applyAlignment="1" applyProtection="1">
      <alignment horizontal="left" vertical="center" wrapText="1"/>
      <protection locked="0"/>
    </xf>
    <xf numFmtId="0" fontId="7" fillId="5" borderId="4" xfId="0" applyFont="1" applyFill="1" applyBorder="1" applyAlignment="1" applyProtection="1">
      <alignment horizontal="left" vertical="center" wrapText="1"/>
      <protection locked="0"/>
    </xf>
    <xf numFmtId="0" fontId="4" fillId="13" borderId="1" xfId="0" applyFont="1" applyFill="1" applyBorder="1" applyAlignment="1" applyProtection="1">
      <alignment horizontal="center" vertical="center" textRotation="180"/>
      <protection locked="0"/>
    </xf>
    <xf numFmtId="0" fontId="4" fillId="13" borderId="2" xfId="0" applyFont="1" applyFill="1" applyBorder="1" applyAlignment="1" applyProtection="1">
      <alignment horizontal="center" vertical="center" textRotation="180"/>
      <protection locked="0"/>
    </xf>
    <xf numFmtId="0" fontId="4" fillId="13" borderId="5" xfId="0" applyFont="1" applyFill="1" applyBorder="1" applyAlignment="1" applyProtection="1">
      <alignment horizontal="center" vertical="center" textRotation="180"/>
      <protection locked="0"/>
    </xf>
    <xf numFmtId="0" fontId="4" fillId="13" borderId="6" xfId="0" applyFont="1" applyFill="1" applyBorder="1" applyAlignment="1" applyProtection="1">
      <alignment horizontal="center" vertical="center" textRotation="180"/>
      <protection locked="0"/>
    </xf>
    <xf numFmtId="0" fontId="13" fillId="14" borderId="1" xfId="0" applyFont="1" applyFill="1" applyBorder="1" applyAlignment="1" applyProtection="1">
      <alignment horizontal="center" vertical="center" textRotation="180"/>
      <protection locked="0"/>
    </xf>
    <xf numFmtId="0" fontId="13" fillId="14" borderId="11" xfId="0" applyFont="1" applyFill="1" applyBorder="1" applyAlignment="1" applyProtection="1">
      <alignment horizontal="center" vertical="center" textRotation="180"/>
      <protection locked="0"/>
    </xf>
    <xf numFmtId="0" fontId="13" fillId="14" borderId="3" xfId="0" applyFont="1" applyFill="1" applyBorder="1" applyAlignment="1" applyProtection="1">
      <alignment horizontal="center" vertical="center" textRotation="180"/>
      <protection locked="0"/>
    </xf>
    <xf numFmtId="0" fontId="13" fillId="14" borderId="0" xfId="0" applyFont="1" applyFill="1" applyBorder="1" applyAlignment="1" applyProtection="1">
      <alignment horizontal="center" vertical="center" textRotation="180"/>
      <protection locked="0"/>
    </xf>
    <xf numFmtId="0" fontId="4" fillId="12" borderId="1" xfId="0" applyFont="1" applyFill="1" applyBorder="1" applyAlignment="1" applyProtection="1">
      <alignment horizontal="center" vertical="center" textRotation="180"/>
      <protection locked="0"/>
    </xf>
    <xf numFmtId="0" fontId="4" fillId="12" borderId="2" xfId="0" applyFont="1" applyFill="1" applyBorder="1" applyAlignment="1" applyProtection="1">
      <alignment horizontal="center" vertical="center" textRotation="180"/>
      <protection locked="0"/>
    </xf>
    <xf numFmtId="0" fontId="4" fillId="12" borderId="3" xfId="0" applyFont="1" applyFill="1" applyBorder="1" applyAlignment="1" applyProtection="1">
      <alignment horizontal="center" vertical="center" textRotation="180"/>
      <protection locked="0"/>
    </xf>
    <xf numFmtId="0" fontId="4" fillId="12" borderId="4" xfId="0" applyFont="1" applyFill="1" applyBorder="1" applyAlignment="1" applyProtection="1">
      <alignment horizontal="center" vertical="center" textRotation="180"/>
      <protection locked="0"/>
    </xf>
    <xf numFmtId="0" fontId="0" fillId="0" borderId="5" xfId="0" applyBorder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4" fillId="5" borderId="1" xfId="0" applyFont="1" applyFill="1" applyBorder="1" applyAlignment="1" applyProtection="1">
      <alignment horizontal="center" vertical="center" textRotation="180" wrapText="1"/>
      <protection locked="0"/>
    </xf>
    <xf numFmtId="0" fontId="4" fillId="5" borderId="2" xfId="0" applyFont="1" applyFill="1" applyBorder="1" applyAlignment="1" applyProtection="1">
      <alignment horizontal="center" vertical="center" textRotation="180" wrapText="1"/>
      <protection locked="0"/>
    </xf>
    <xf numFmtId="0" fontId="4" fillId="5" borderId="3" xfId="0" applyFont="1" applyFill="1" applyBorder="1" applyAlignment="1" applyProtection="1">
      <alignment horizontal="center" vertical="center" textRotation="180" wrapText="1"/>
      <protection locked="0"/>
    </xf>
    <xf numFmtId="0" fontId="4" fillId="5" borderId="4" xfId="0" applyFont="1" applyFill="1" applyBorder="1" applyAlignment="1" applyProtection="1">
      <alignment horizontal="center" vertical="center" textRotation="180" wrapText="1"/>
      <protection locked="0"/>
    </xf>
    <xf numFmtId="0" fontId="4" fillId="2" borderId="3" xfId="0" applyFont="1" applyFill="1" applyBorder="1" applyAlignment="1" applyProtection="1">
      <alignment horizontal="center" vertical="center" textRotation="180"/>
      <protection locked="0"/>
    </xf>
    <xf numFmtId="0" fontId="4" fillId="2" borderId="0" xfId="0" applyFont="1" applyFill="1" applyBorder="1" applyAlignment="1" applyProtection="1">
      <alignment horizontal="center" vertical="center" textRotation="180"/>
      <protection locked="0"/>
    </xf>
    <xf numFmtId="0" fontId="7" fillId="14" borderId="3" xfId="0" applyFont="1" applyFill="1" applyBorder="1" applyAlignment="1">
      <alignment horizontal="left" vertical="center" wrapText="1"/>
    </xf>
    <xf numFmtId="0" fontId="7" fillId="14" borderId="0" xfId="0" applyFont="1" applyFill="1" applyBorder="1" applyAlignment="1">
      <alignment horizontal="left" vertical="center" wrapText="1"/>
    </xf>
    <xf numFmtId="0" fontId="7" fillId="14" borderId="4" xfId="0" applyFont="1" applyFill="1" applyBorder="1" applyAlignment="1">
      <alignment horizontal="left" vertical="center" wrapText="1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7" fillId="2" borderId="3" xfId="0" applyFont="1" applyFill="1" applyBorder="1" applyAlignment="1" applyProtection="1">
      <alignment horizontal="left" vertical="center" wrapText="1"/>
      <protection locked="0"/>
    </xf>
    <xf numFmtId="0" fontId="7" fillId="2" borderId="0" xfId="0" applyFont="1" applyFill="1" applyBorder="1" applyAlignment="1" applyProtection="1">
      <alignment horizontal="left" vertical="center" wrapText="1"/>
      <protection locked="0"/>
    </xf>
    <xf numFmtId="0" fontId="7" fillId="2" borderId="4" xfId="0" applyFont="1" applyFill="1" applyBorder="1" applyAlignment="1" applyProtection="1">
      <alignment horizontal="left" vertical="center" wrapText="1"/>
      <protection locked="0"/>
    </xf>
    <xf numFmtId="0" fontId="7" fillId="14" borderId="1" xfId="0" applyFont="1" applyFill="1" applyBorder="1" applyAlignment="1" applyProtection="1">
      <alignment horizontal="left" vertical="center" wrapText="1"/>
      <protection locked="0"/>
    </xf>
    <xf numFmtId="0" fontId="7" fillId="14" borderId="11" xfId="0" applyFont="1" applyFill="1" applyBorder="1" applyAlignment="1" applyProtection="1">
      <alignment horizontal="left" vertical="center" wrapText="1"/>
      <protection locked="0"/>
    </xf>
    <xf numFmtId="0" fontId="7" fillId="14" borderId="2" xfId="0" applyFont="1" applyFill="1" applyBorder="1" applyAlignment="1" applyProtection="1">
      <alignment horizontal="left" vertical="center" wrapText="1"/>
      <protection locked="0"/>
    </xf>
    <xf numFmtId="0" fontId="7" fillId="14" borderId="3" xfId="0" applyFont="1" applyFill="1" applyBorder="1" applyAlignment="1" applyProtection="1">
      <alignment horizontal="left" vertical="center" wrapText="1"/>
      <protection locked="0"/>
    </xf>
    <xf numFmtId="0" fontId="7" fillId="14" borderId="0" xfId="0" applyFont="1" applyFill="1" applyBorder="1" applyAlignment="1" applyProtection="1">
      <alignment horizontal="left" vertical="center" wrapText="1"/>
      <protection locked="0"/>
    </xf>
    <xf numFmtId="0" fontId="7" fillId="14" borderId="4" xfId="0" applyFont="1" applyFill="1" applyBorder="1" applyAlignment="1" applyProtection="1">
      <alignment horizontal="left" vertical="center" wrapText="1"/>
      <protection locked="0"/>
    </xf>
    <xf numFmtId="0" fontId="7" fillId="12" borderId="1" xfId="0" applyFont="1" applyFill="1" applyBorder="1" applyAlignment="1" applyProtection="1">
      <alignment horizontal="left" vertical="center" wrapText="1"/>
      <protection locked="0"/>
    </xf>
    <xf numFmtId="0" fontId="7" fillId="12" borderId="11" xfId="0" applyFont="1" applyFill="1" applyBorder="1" applyAlignment="1" applyProtection="1">
      <alignment horizontal="left" vertical="center" wrapText="1"/>
      <protection locked="0"/>
    </xf>
    <xf numFmtId="0" fontId="7" fillId="12" borderId="2" xfId="0" applyFont="1" applyFill="1" applyBorder="1" applyAlignment="1" applyProtection="1">
      <alignment horizontal="left" vertical="center" wrapText="1"/>
      <protection locked="0"/>
    </xf>
    <xf numFmtId="0" fontId="7" fillId="12" borderId="3" xfId="0" applyFont="1" applyFill="1" applyBorder="1" applyAlignment="1" applyProtection="1">
      <alignment horizontal="left" vertical="center" wrapText="1"/>
      <protection locked="0"/>
    </xf>
    <xf numFmtId="0" fontId="7" fillId="12" borderId="0" xfId="0" applyFont="1" applyFill="1" applyBorder="1" applyAlignment="1" applyProtection="1">
      <alignment horizontal="left" vertical="center" wrapText="1"/>
      <protection locked="0"/>
    </xf>
    <xf numFmtId="0" fontId="7" fillId="12" borderId="4" xfId="0" applyFont="1" applyFill="1" applyBorder="1" applyAlignment="1" applyProtection="1">
      <alignment horizontal="left" vertical="center" wrapText="1"/>
      <protection locked="0"/>
    </xf>
    <xf numFmtId="0" fontId="7" fillId="5" borderId="1" xfId="0" applyFont="1" applyFill="1" applyBorder="1" applyAlignment="1" applyProtection="1">
      <alignment horizontal="left" vertical="center"/>
      <protection locked="0"/>
    </xf>
    <xf numFmtId="0" fontId="7" fillId="5" borderId="11" xfId="0" applyFont="1" applyFill="1" applyBorder="1" applyAlignment="1" applyProtection="1">
      <alignment horizontal="left" vertical="center"/>
      <protection locked="0"/>
    </xf>
    <xf numFmtId="0" fontId="7" fillId="5" borderId="2" xfId="0" applyFont="1" applyFill="1" applyBorder="1" applyAlignment="1" applyProtection="1">
      <alignment horizontal="left" vertical="center"/>
      <protection locked="0"/>
    </xf>
    <xf numFmtId="0" fontId="2" fillId="9" borderId="8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left" vertical="center"/>
    </xf>
    <xf numFmtId="0" fontId="0" fillId="11" borderId="2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9900"/>
      <color rgb="FFFF7C80"/>
      <color rgb="FFFF33CC"/>
      <color rgb="FFCC33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935280311674352"/>
          <c:y val="0.23873022584301498"/>
          <c:w val="0.63417830867499136"/>
          <c:h val="0.54286630051461904"/>
        </c:manualLayout>
      </c:layout>
      <c:lineChart>
        <c:grouping val="standard"/>
        <c:varyColors val="0"/>
        <c:ser>
          <c:idx val="1"/>
          <c:order val="0"/>
          <c:tx>
            <c:strRef>
              <c:f>Calcs!$F$3</c:f>
              <c:strCache>
                <c:ptCount val="1"/>
                <c:pt idx="0">
                  <c:v>Ag (Reduced Irr.)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[0]!rngX</c:f>
              <c:numCache>
                <c:formatCode>General</c:formatCode>
                <c:ptCount val="30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</c:numCache>
            </c:numRef>
          </c:cat>
          <c:val>
            <c:numRef>
              <c:f>[0]!rngRed</c:f>
              <c:numCache>
                <c:formatCode>#,##0</c:formatCode>
                <c:ptCount val="30"/>
                <c:pt idx="0">
                  <c:v>206994.07930631476</c:v>
                </c:pt>
                <c:pt idx="1">
                  <c:v>206994.07930631476</c:v>
                </c:pt>
                <c:pt idx="2">
                  <c:v>206994.07930631476</c:v>
                </c:pt>
                <c:pt idx="3">
                  <c:v>206994.07930631476</c:v>
                </c:pt>
                <c:pt idx="4" formatCode="#,##0.0000_);\(#,##0.0000\)">
                  <c:v>206994.07930631476</c:v>
                </c:pt>
                <c:pt idx="5" formatCode="_(&quot;$&quot;* #,##0_);_(&quot;$&quot;* \(#,##0\);_(&quot;$&quot;* &quot;-&quot;??_);_(@_)">
                  <c:v>179172.45856653451</c:v>
                </c:pt>
                <c:pt idx="6">
                  <c:v>179172.45856653451</c:v>
                </c:pt>
                <c:pt idx="7" formatCode="_(&quot;$&quot;* #,##0_);_(&quot;$&quot;* \(#,##0\);_(&quot;$&quot;* &quot;-&quot;??_);_(@_)">
                  <c:v>179172.45856653451</c:v>
                </c:pt>
                <c:pt idx="8" formatCode="#,##0.00_);\(#,##0.00\)">
                  <c:v>179172.45856653451</c:v>
                </c:pt>
                <c:pt idx="9">
                  <c:v>179172.45856653451</c:v>
                </c:pt>
                <c:pt idx="10">
                  <c:v>179172.45856653451</c:v>
                </c:pt>
                <c:pt idx="11">
                  <c:v>179172.45856653451</c:v>
                </c:pt>
                <c:pt idx="12">
                  <c:v>179172.45856653451</c:v>
                </c:pt>
                <c:pt idx="13">
                  <c:v>179172.45856653451</c:v>
                </c:pt>
                <c:pt idx="14">
                  <c:v>179172.45856653451</c:v>
                </c:pt>
                <c:pt idx="15">
                  <c:v>179172.45856653451</c:v>
                </c:pt>
                <c:pt idx="16">
                  <c:v>179172.45856653451</c:v>
                </c:pt>
                <c:pt idx="17">
                  <c:v>179172.45856653451</c:v>
                </c:pt>
                <c:pt idx="18">
                  <c:v>179172.45856653451</c:v>
                </c:pt>
                <c:pt idx="19">
                  <c:v>179172.45856653451</c:v>
                </c:pt>
                <c:pt idx="20">
                  <c:v>179172.45856653451</c:v>
                </c:pt>
                <c:pt idx="21">
                  <c:v>179172.45856653451</c:v>
                </c:pt>
                <c:pt idx="22">
                  <c:v>179172.45856653451</c:v>
                </c:pt>
                <c:pt idx="23">
                  <c:v>179172.45856653451</c:v>
                </c:pt>
                <c:pt idx="24">
                  <c:v>179172.45856653451</c:v>
                </c:pt>
                <c:pt idx="25">
                  <c:v>179172.45856653451</c:v>
                </c:pt>
                <c:pt idx="26">
                  <c:v>179172.45856653451</c:v>
                </c:pt>
                <c:pt idx="27">
                  <c:v>179172.45856653451</c:v>
                </c:pt>
                <c:pt idx="28">
                  <c:v>179172.45856653451</c:v>
                </c:pt>
                <c:pt idx="29">
                  <c:v>179172.45856653451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26-4A19-BAA4-E59C90C35354}"/>
            </c:ext>
          </c:extLst>
        </c:ser>
        <c:ser>
          <c:idx val="2"/>
          <c:order val="1"/>
          <c:tx>
            <c:strRef>
              <c:f>Calcs!$G$3</c:f>
              <c:strCache>
                <c:ptCount val="1"/>
                <c:pt idx="0">
                  <c:v>Ag (Norm Irr.)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[0]!rngX</c:f>
              <c:numCache>
                <c:formatCode>General</c:formatCode>
                <c:ptCount val="30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</c:numCache>
            </c:numRef>
          </c:cat>
          <c:val>
            <c:numRef>
              <c:f>[0]!rngNorm</c:f>
              <c:numCache>
                <c:formatCode>#,##0</c:formatCode>
                <c:ptCount val="30"/>
                <c:pt idx="0">
                  <c:v>206994.07930631476</c:v>
                </c:pt>
                <c:pt idx="1">
                  <c:v>206994.07930631476</c:v>
                </c:pt>
                <c:pt idx="2">
                  <c:v>206994.07930631476</c:v>
                </c:pt>
                <c:pt idx="3">
                  <c:v>206994.07930631476</c:v>
                </c:pt>
                <c:pt idx="4" formatCode="#,##0.0000_);\(#,##0.0000\)">
                  <c:v>206994.07930631476</c:v>
                </c:pt>
                <c:pt idx="5" formatCode="_(&quot;$&quot;* #,##0_);_(&quot;$&quot;* \(#,##0\);_(&quot;$&quot;* &quot;-&quot;??_);_(@_)">
                  <c:v>206994.07930631476</c:v>
                </c:pt>
                <c:pt idx="6">
                  <c:v>206994.07930631476</c:v>
                </c:pt>
                <c:pt idx="7" formatCode="_(&quot;$&quot;* #,##0_);_(&quot;$&quot;* \(#,##0\);_(&quot;$&quot;* &quot;-&quot;??_);_(@_)">
                  <c:v>206994.07930631476</c:v>
                </c:pt>
                <c:pt idx="8" formatCode="#,##0.00_);\(#,##0.00\)">
                  <c:v>206994.07930631476</c:v>
                </c:pt>
                <c:pt idx="9">
                  <c:v>206994.07930631476</c:v>
                </c:pt>
                <c:pt idx="10">
                  <c:v>206994.07930631476</c:v>
                </c:pt>
                <c:pt idx="11">
                  <c:v>206994.07930631476</c:v>
                </c:pt>
                <c:pt idx="12">
                  <c:v>206994.07930631476</c:v>
                </c:pt>
                <c:pt idx="13">
                  <c:v>206994.07930631476</c:v>
                </c:pt>
                <c:pt idx="14">
                  <c:v>206994.07930631476</c:v>
                </c:pt>
                <c:pt idx="15">
                  <c:v>206994.07930631476</c:v>
                </c:pt>
                <c:pt idx="16">
                  <c:v>206994.07930631476</c:v>
                </c:pt>
                <c:pt idx="17">
                  <c:v>206994.07930631476</c:v>
                </c:pt>
                <c:pt idx="18">
                  <c:v>206994.07930631476</c:v>
                </c:pt>
                <c:pt idx="19">
                  <c:v>206994.07930631476</c:v>
                </c:pt>
                <c:pt idx="20">
                  <c:v>206994.07930631476</c:v>
                </c:pt>
                <c:pt idx="21">
                  <c:v>206994.07930631476</c:v>
                </c:pt>
                <c:pt idx="22">
                  <c:v>206994.07930631476</c:v>
                </c:pt>
                <c:pt idx="23">
                  <c:v>206994.07930631476</c:v>
                </c:pt>
                <c:pt idx="24">
                  <c:v>206994.07930631476</c:v>
                </c:pt>
                <c:pt idx="25">
                  <c:v>206994.07930631476</c:v>
                </c:pt>
                <c:pt idx="26">
                  <c:v>206994.07930631476</c:v>
                </c:pt>
                <c:pt idx="27">
                  <c:v>206994.07930631476</c:v>
                </c:pt>
                <c:pt idx="28">
                  <c:v>206994.07930631476</c:v>
                </c:pt>
                <c:pt idx="29">
                  <c:v>206994.07930631476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26-4A19-BAA4-E59C90C35354}"/>
            </c:ext>
          </c:extLst>
        </c:ser>
        <c:ser>
          <c:idx val="3"/>
          <c:order val="2"/>
          <c:tx>
            <c:strRef>
              <c:f>Calcs!$H$3</c:f>
              <c:strCache>
                <c:ptCount val="1"/>
                <c:pt idx="0">
                  <c:v>Energy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[0]!rngX</c:f>
              <c:numCache>
                <c:formatCode>General</c:formatCode>
                <c:ptCount val="30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</c:numCache>
            </c:numRef>
          </c:cat>
          <c:val>
            <c:numRef>
              <c:f>[0]!rngEngy</c:f>
              <c:numCache>
                <c:formatCode>#,##0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30516.360151201952</c:v>
                </c:pt>
                <c:pt idx="3">
                  <c:v>30516.360151201952</c:v>
                </c:pt>
                <c:pt idx="4" formatCode="#,##0.0000_);\(#,##0.0000\)">
                  <c:v>30516.360151201952</c:v>
                </c:pt>
                <c:pt idx="5" formatCode="_(&quot;$&quot;* #,##0_);_(&quot;$&quot;* \(#,##0\);_(&quot;$&quot;* &quot;-&quot;??_);_(@_)">
                  <c:v>30516.360151201952</c:v>
                </c:pt>
                <c:pt idx="6">
                  <c:v>30516.360151201952</c:v>
                </c:pt>
                <c:pt idx="7" formatCode="_(&quot;$&quot;* #,##0_);_(&quot;$&quot;* \(#,##0\);_(&quot;$&quot;* &quot;-&quot;??_);_(@_)">
                  <c:v>30516.360151201952</c:v>
                </c:pt>
                <c:pt idx="8" formatCode="#,##0.00_);\(#,##0.00\)">
                  <c:v>30516.360151201952</c:v>
                </c:pt>
                <c:pt idx="9">
                  <c:v>30516.360151201952</c:v>
                </c:pt>
                <c:pt idx="10">
                  <c:v>30516.360151201952</c:v>
                </c:pt>
                <c:pt idx="11">
                  <c:v>30516.360151201952</c:v>
                </c:pt>
                <c:pt idx="12">
                  <c:v>30516.360151201952</c:v>
                </c:pt>
                <c:pt idx="13">
                  <c:v>30516.360151201952</c:v>
                </c:pt>
                <c:pt idx="14">
                  <c:v>30516.360151201952</c:v>
                </c:pt>
                <c:pt idx="15">
                  <c:v>30516.360151201952</c:v>
                </c:pt>
                <c:pt idx="16">
                  <c:v>30516.360151201952</c:v>
                </c:pt>
                <c:pt idx="17">
                  <c:v>30516.360151201952</c:v>
                </c:pt>
                <c:pt idx="18">
                  <c:v>30516.360151201952</c:v>
                </c:pt>
                <c:pt idx="19">
                  <c:v>30516.360151201952</c:v>
                </c:pt>
                <c:pt idx="20">
                  <c:v>30516.360151201952</c:v>
                </c:pt>
                <c:pt idx="21">
                  <c:v>30516.360151201952</c:v>
                </c:pt>
                <c:pt idx="22">
                  <c:v>283068</c:v>
                </c:pt>
                <c:pt idx="23">
                  <c:v>283068</c:v>
                </c:pt>
                <c:pt idx="24">
                  <c:v>283068</c:v>
                </c:pt>
                <c:pt idx="25">
                  <c:v>283068</c:v>
                </c:pt>
                <c:pt idx="26">
                  <c:v>283068</c:v>
                </c:pt>
                <c:pt idx="27">
                  <c:v>283068</c:v>
                </c:pt>
                <c:pt idx="28">
                  <c:v>283068</c:v>
                </c:pt>
                <c:pt idx="29">
                  <c:v>283068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26-4A19-BAA4-E59C90C35354}"/>
            </c:ext>
          </c:extLst>
        </c:ser>
        <c:ser>
          <c:idx val="4"/>
          <c:order val="3"/>
          <c:tx>
            <c:strRef>
              <c:f>Calcs!$I$3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[0]!rngX</c:f>
              <c:numCache>
                <c:formatCode>General</c:formatCode>
                <c:ptCount val="30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</c:numCache>
            </c:numRef>
          </c:cat>
          <c:val>
            <c:numRef>
              <c:f>[0]!rngTotal</c:f>
              <c:numCache>
                <c:formatCode>#,##0</c:formatCode>
                <c:ptCount val="30"/>
                <c:pt idx="0">
                  <c:v>206994.07930631476</c:v>
                </c:pt>
                <c:pt idx="1">
                  <c:v>206994.07930631476</c:v>
                </c:pt>
                <c:pt idx="2">
                  <c:v>237510.43945751671</c:v>
                </c:pt>
                <c:pt idx="3">
                  <c:v>237510.43945751671</c:v>
                </c:pt>
                <c:pt idx="4" formatCode="#,##0.0000_);\(#,##0.0000\)">
                  <c:v>237510.43945751671</c:v>
                </c:pt>
                <c:pt idx="5" formatCode="_(&quot;$&quot;* #,##0_);_(&quot;$&quot;* \(#,##0\);_(&quot;$&quot;* &quot;-&quot;??_);_(@_)">
                  <c:v>209688.81871773646</c:v>
                </c:pt>
                <c:pt idx="6">
                  <c:v>209688.81871773646</c:v>
                </c:pt>
                <c:pt idx="7" formatCode="_(&quot;$&quot;* #,##0_);_(&quot;$&quot;* \(#,##0\);_(&quot;$&quot;* &quot;-&quot;??_);_(@_)">
                  <c:v>209688.81871773646</c:v>
                </c:pt>
                <c:pt idx="8" formatCode="#,##0.00_);\(#,##0.00\)">
                  <c:v>209688.81871773646</c:v>
                </c:pt>
                <c:pt idx="9">
                  <c:v>209688.81871773646</c:v>
                </c:pt>
                <c:pt idx="10">
                  <c:v>209688.81871773646</c:v>
                </c:pt>
                <c:pt idx="11">
                  <c:v>209688.81871773646</c:v>
                </c:pt>
                <c:pt idx="12">
                  <c:v>209688.81871773646</c:v>
                </c:pt>
                <c:pt idx="13">
                  <c:v>209688.81871773646</c:v>
                </c:pt>
                <c:pt idx="14">
                  <c:v>209688.81871773646</c:v>
                </c:pt>
                <c:pt idx="15">
                  <c:v>209688.81871773646</c:v>
                </c:pt>
                <c:pt idx="16">
                  <c:v>209688.81871773646</c:v>
                </c:pt>
                <c:pt idx="17">
                  <c:v>209688.81871773646</c:v>
                </c:pt>
                <c:pt idx="18">
                  <c:v>209688.81871773646</c:v>
                </c:pt>
                <c:pt idx="19">
                  <c:v>209688.81871773646</c:v>
                </c:pt>
                <c:pt idx="20">
                  <c:v>209688.81871773646</c:v>
                </c:pt>
                <c:pt idx="21">
                  <c:v>209688.81871773646</c:v>
                </c:pt>
                <c:pt idx="22">
                  <c:v>462240.45856653451</c:v>
                </c:pt>
                <c:pt idx="23">
                  <c:v>462240.45856653451</c:v>
                </c:pt>
                <c:pt idx="24">
                  <c:v>462240.45856653451</c:v>
                </c:pt>
                <c:pt idx="25">
                  <c:v>462240.45856653451</c:v>
                </c:pt>
                <c:pt idx="26">
                  <c:v>462240.45856653451</c:v>
                </c:pt>
                <c:pt idx="27">
                  <c:v>462240.45856653451</c:v>
                </c:pt>
                <c:pt idx="28">
                  <c:v>462240.45856653451</c:v>
                </c:pt>
                <c:pt idx="29">
                  <c:v>462240.45856653451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26-4A19-BAA4-E59C90C35354}"/>
            </c:ext>
          </c:extLst>
        </c:ser>
        <c:ser>
          <c:idx val="0"/>
          <c:order val="4"/>
          <c:tx>
            <c:v>Loan Duration</c:v>
          </c:tx>
          <c:spPr>
            <a:ln w="50800" cap="rnd" cmpd="sng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[0]!rngTIme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EB-486B-9DF5-134278626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1288"/>
        <c:axId val="496445208"/>
      </c:lineChart>
      <c:dateAx>
        <c:axId val="496441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5208"/>
        <c:crosses val="autoZero"/>
        <c:auto val="0"/>
        <c:lblOffset val="1"/>
        <c:baseTimeUnit val="days"/>
        <c:minorUnit val="1"/>
      </c:dateAx>
      <c:valAx>
        <c:axId val="496445208"/>
        <c:scaling>
          <c:orientation val="minMax"/>
        </c:scaling>
        <c:delete val="0"/>
        <c:axPos val="l"/>
        <c:title>
          <c:tx>
            <c:strRef>
              <c:f>[0]!addrTitle</c:f>
              <c:strCache>
                <c:ptCount val="1"/>
                <c:pt idx="0">
                  <c:v>Graph 1 - Net Income Estimates 2017 to 2046</c:v>
                </c:pt>
              </c:strCache>
            </c:strRef>
          </c:tx>
          <c:layout>
            <c:manualLayout>
              <c:xMode val="edge"/>
              <c:yMode val="edge"/>
              <c:x val="4.5563297591248733E-2"/>
              <c:y val="0.13379041247656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1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6.5144834098759485E-2"/>
          <c:y val="0.89578750208200264"/>
          <c:w val="0.89999987676843896"/>
          <c:h val="8.23020052191060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337902494556415"/>
          <c:y val="0.26038224046068215"/>
          <c:w val="0.58610664285219827"/>
          <c:h val="0.5248135781431722"/>
        </c:manualLayout>
      </c:layout>
      <c:lineChart>
        <c:grouping val="standard"/>
        <c:varyColors val="0"/>
        <c:ser>
          <c:idx val="1"/>
          <c:order val="0"/>
          <c:tx>
            <c:strRef>
              <c:f>Calcs!$F$3</c:f>
              <c:strCache>
                <c:ptCount val="1"/>
                <c:pt idx="0">
                  <c:v>Ag (Reduced Irr.)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[0]!rngDate20</c:f>
              <c:numCache>
                <c:formatCode>General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[0]!rngRed20</c:f>
              <c:numCache>
                <c:formatCode>#,##0</c:formatCode>
                <c:ptCount val="20"/>
                <c:pt idx="0">
                  <c:v>206994.07930631476</c:v>
                </c:pt>
                <c:pt idx="1">
                  <c:v>206994.07930631476</c:v>
                </c:pt>
                <c:pt idx="2" formatCode="#,##0.0000_);\(#,##0.0000\)">
                  <c:v>206994.07930631476</c:v>
                </c:pt>
                <c:pt idx="3" formatCode="_(&quot;$&quot;* #,##0_);_(&quot;$&quot;* \(#,##0\);_(&quot;$&quot;* &quot;-&quot;??_);_(@_)">
                  <c:v>179172.45856653451</c:v>
                </c:pt>
                <c:pt idx="4">
                  <c:v>179172.45856653451</c:v>
                </c:pt>
                <c:pt idx="5" formatCode="_(&quot;$&quot;* #,##0_);_(&quot;$&quot;* \(#,##0\);_(&quot;$&quot;* &quot;-&quot;??_);_(@_)">
                  <c:v>179172.45856653451</c:v>
                </c:pt>
                <c:pt idx="6" formatCode="#,##0.00_);\(#,##0.00\)">
                  <c:v>179172.45856653451</c:v>
                </c:pt>
                <c:pt idx="7">
                  <c:v>179172.45856653451</c:v>
                </c:pt>
                <c:pt idx="8">
                  <c:v>179172.45856653451</c:v>
                </c:pt>
                <c:pt idx="9">
                  <c:v>179172.45856653451</c:v>
                </c:pt>
                <c:pt idx="10">
                  <c:v>179172.45856653451</c:v>
                </c:pt>
                <c:pt idx="11">
                  <c:v>179172.45856653451</c:v>
                </c:pt>
                <c:pt idx="12">
                  <c:v>179172.45856653451</c:v>
                </c:pt>
                <c:pt idx="13">
                  <c:v>179172.45856653451</c:v>
                </c:pt>
                <c:pt idx="14">
                  <c:v>179172.45856653451</c:v>
                </c:pt>
                <c:pt idx="15">
                  <c:v>179172.45856653451</c:v>
                </c:pt>
                <c:pt idx="16">
                  <c:v>179172.45856653451</c:v>
                </c:pt>
                <c:pt idx="17">
                  <c:v>179172.45856653451</c:v>
                </c:pt>
                <c:pt idx="18">
                  <c:v>179172.45856653451</c:v>
                </c:pt>
                <c:pt idx="19">
                  <c:v>179172.45856653451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37-4816-AC23-4F2FC7FE9FCC}"/>
            </c:ext>
          </c:extLst>
        </c:ser>
        <c:ser>
          <c:idx val="2"/>
          <c:order val="1"/>
          <c:tx>
            <c:strRef>
              <c:f>Calcs!$G$3</c:f>
              <c:strCache>
                <c:ptCount val="1"/>
                <c:pt idx="0">
                  <c:v>Ag (Norm Irr.)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[0]!rngDate20</c:f>
              <c:numCache>
                <c:formatCode>General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[0]!rngNorm20</c:f>
              <c:numCache>
                <c:formatCode>#,##0</c:formatCode>
                <c:ptCount val="20"/>
                <c:pt idx="0">
                  <c:v>206994.07930631476</c:v>
                </c:pt>
                <c:pt idx="1">
                  <c:v>206994.07930631476</c:v>
                </c:pt>
                <c:pt idx="2" formatCode="#,##0.0000_);\(#,##0.0000\)">
                  <c:v>206994.07930631476</c:v>
                </c:pt>
                <c:pt idx="3" formatCode="_(&quot;$&quot;* #,##0_);_(&quot;$&quot;* \(#,##0\);_(&quot;$&quot;* &quot;-&quot;??_);_(@_)">
                  <c:v>206994.07930631476</c:v>
                </c:pt>
                <c:pt idx="4">
                  <c:v>206994.07930631476</c:v>
                </c:pt>
                <c:pt idx="5" formatCode="_(&quot;$&quot;* #,##0_);_(&quot;$&quot;* \(#,##0\);_(&quot;$&quot;* &quot;-&quot;??_);_(@_)">
                  <c:v>206994.07930631476</c:v>
                </c:pt>
                <c:pt idx="6" formatCode="#,##0.00_);\(#,##0.00\)">
                  <c:v>206994.07930631476</c:v>
                </c:pt>
                <c:pt idx="7">
                  <c:v>206994.07930631476</c:v>
                </c:pt>
                <c:pt idx="8">
                  <c:v>206994.07930631476</c:v>
                </c:pt>
                <c:pt idx="9">
                  <c:v>206994.07930631476</c:v>
                </c:pt>
                <c:pt idx="10">
                  <c:v>206994.07930631476</c:v>
                </c:pt>
                <c:pt idx="11">
                  <c:v>206994.07930631476</c:v>
                </c:pt>
                <c:pt idx="12">
                  <c:v>206994.07930631476</c:v>
                </c:pt>
                <c:pt idx="13">
                  <c:v>206994.07930631476</c:v>
                </c:pt>
                <c:pt idx="14">
                  <c:v>206994.07930631476</c:v>
                </c:pt>
                <c:pt idx="15">
                  <c:v>206994.07930631476</c:v>
                </c:pt>
                <c:pt idx="16">
                  <c:v>206994.07930631476</c:v>
                </c:pt>
                <c:pt idx="17">
                  <c:v>206994.07930631476</c:v>
                </c:pt>
                <c:pt idx="18">
                  <c:v>206994.07930631476</c:v>
                </c:pt>
                <c:pt idx="19">
                  <c:v>206994.07930631476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37-4816-AC23-4F2FC7FE9FCC}"/>
            </c:ext>
          </c:extLst>
        </c:ser>
        <c:ser>
          <c:idx val="3"/>
          <c:order val="2"/>
          <c:tx>
            <c:strRef>
              <c:f>Calcs!$H$3</c:f>
              <c:strCache>
                <c:ptCount val="1"/>
                <c:pt idx="0">
                  <c:v>Energy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[0]!rngDate20</c:f>
              <c:numCache>
                <c:formatCode>General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[0]!rngENGY20</c:f>
              <c:numCache>
                <c:formatCode>#,##0</c:formatCode>
                <c:ptCount val="20"/>
                <c:pt idx="0">
                  <c:v>30516.360151201952</c:v>
                </c:pt>
                <c:pt idx="1">
                  <c:v>30516.360151201952</c:v>
                </c:pt>
                <c:pt idx="2" formatCode="#,##0.0000_);\(#,##0.0000\)">
                  <c:v>30516.360151201952</c:v>
                </c:pt>
                <c:pt idx="3" formatCode="_(&quot;$&quot;* #,##0_);_(&quot;$&quot;* \(#,##0\);_(&quot;$&quot;* &quot;-&quot;??_);_(@_)">
                  <c:v>30516.360151201952</c:v>
                </c:pt>
                <c:pt idx="4">
                  <c:v>30516.360151201952</c:v>
                </c:pt>
                <c:pt idx="5" formatCode="_(&quot;$&quot;* #,##0_);_(&quot;$&quot;* \(#,##0\);_(&quot;$&quot;* &quot;-&quot;??_);_(@_)">
                  <c:v>30516.360151201952</c:v>
                </c:pt>
                <c:pt idx="6" formatCode="#,##0.00_);\(#,##0.00\)">
                  <c:v>30516.360151201952</c:v>
                </c:pt>
                <c:pt idx="7">
                  <c:v>30516.360151201952</c:v>
                </c:pt>
                <c:pt idx="8">
                  <c:v>30516.360151201952</c:v>
                </c:pt>
                <c:pt idx="9">
                  <c:v>30516.360151201952</c:v>
                </c:pt>
                <c:pt idx="10">
                  <c:v>30516.360151201952</c:v>
                </c:pt>
                <c:pt idx="11">
                  <c:v>30516.360151201952</c:v>
                </c:pt>
                <c:pt idx="12">
                  <c:v>30516.360151201952</c:v>
                </c:pt>
                <c:pt idx="13">
                  <c:v>30516.360151201952</c:v>
                </c:pt>
                <c:pt idx="14">
                  <c:v>30516.360151201952</c:v>
                </c:pt>
                <c:pt idx="15">
                  <c:v>30516.360151201952</c:v>
                </c:pt>
                <c:pt idx="16">
                  <c:v>30516.360151201952</c:v>
                </c:pt>
                <c:pt idx="17">
                  <c:v>30516.360151201952</c:v>
                </c:pt>
                <c:pt idx="18">
                  <c:v>30516.360151201952</c:v>
                </c:pt>
                <c:pt idx="19">
                  <c:v>30516.360151201952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37-4816-AC23-4F2FC7FE9FCC}"/>
            </c:ext>
          </c:extLst>
        </c:ser>
        <c:ser>
          <c:idx val="4"/>
          <c:order val="3"/>
          <c:tx>
            <c:strRef>
              <c:f>Calcs!$I$3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[0]!rngDate20</c:f>
              <c:numCache>
                <c:formatCode>General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[0]!rngTotal20</c:f>
              <c:numCache>
                <c:formatCode>#,##0</c:formatCode>
                <c:ptCount val="20"/>
                <c:pt idx="0">
                  <c:v>237510.43945751671</c:v>
                </c:pt>
                <c:pt idx="1">
                  <c:v>237510.43945751671</c:v>
                </c:pt>
                <c:pt idx="2" formatCode="#,##0.0000_);\(#,##0.0000\)">
                  <c:v>237510.43945751671</c:v>
                </c:pt>
                <c:pt idx="3" formatCode="_(&quot;$&quot;* #,##0_);_(&quot;$&quot;* \(#,##0\);_(&quot;$&quot;* &quot;-&quot;??_);_(@_)">
                  <c:v>209688.81871773646</c:v>
                </c:pt>
                <c:pt idx="4">
                  <c:v>209688.81871773646</c:v>
                </c:pt>
                <c:pt idx="5" formatCode="_(&quot;$&quot;* #,##0_);_(&quot;$&quot;* \(#,##0\);_(&quot;$&quot;* &quot;-&quot;??_);_(@_)">
                  <c:v>209688.81871773646</c:v>
                </c:pt>
                <c:pt idx="6" formatCode="#,##0.00_);\(#,##0.00\)">
                  <c:v>209688.81871773646</c:v>
                </c:pt>
                <c:pt idx="7">
                  <c:v>209688.81871773646</c:v>
                </c:pt>
                <c:pt idx="8">
                  <c:v>209688.81871773646</c:v>
                </c:pt>
                <c:pt idx="9">
                  <c:v>209688.81871773646</c:v>
                </c:pt>
                <c:pt idx="10">
                  <c:v>209688.81871773646</c:v>
                </c:pt>
                <c:pt idx="11">
                  <c:v>209688.81871773646</c:v>
                </c:pt>
                <c:pt idx="12">
                  <c:v>209688.81871773646</c:v>
                </c:pt>
                <c:pt idx="13">
                  <c:v>209688.81871773646</c:v>
                </c:pt>
                <c:pt idx="14">
                  <c:v>209688.81871773646</c:v>
                </c:pt>
                <c:pt idx="15">
                  <c:v>209688.81871773646</c:v>
                </c:pt>
                <c:pt idx="16">
                  <c:v>209688.81871773646</c:v>
                </c:pt>
                <c:pt idx="17">
                  <c:v>209688.81871773646</c:v>
                </c:pt>
                <c:pt idx="18">
                  <c:v>209688.81871773646</c:v>
                </c:pt>
                <c:pt idx="19">
                  <c:v>209688.81871773646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37-4816-AC23-4F2FC7FE9FCC}"/>
            </c:ext>
          </c:extLst>
        </c:ser>
        <c:ser>
          <c:idx val="0"/>
          <c:order val="4"/>
          <c:tx>
            <c:v>Loan</c:v>
          </c:tx>
          <c:spPr>
            <a:ln w="508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[0]!rngTIme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68-4A95-AF4A-913CD9BCB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45992"/>
        <c:axId val="496446384"/>
      </c:lineChart>
      <c:dateAx>
        <c:axId val="4964459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46384"/>
        <c:crosses val="autoZero"/>
        <c:auto val="0"/>
        <c:lblOffset val="1"/>
        <c:baseTimeUnit val="days"/>
        <c:minorUnit val="1"/>
      </c:dateAx>
      <c:valAx>
        <c:axId val="496446384"/>
        <c:scaling>
          <c:orientation val="minMax"/>
        </c:scaling>
        <c:delete val="0"/>
        <c:axPos val="l"/>
        <c:title>
          <c:tx>
            <c:strRef>
              <c:f>[0]!addrTitle20</c:f>
              <c:strCache>
                <c:ptCount val="1"/>
                <c:pt idx="0">
                  <c:v>Graph 2 - Net Income Estimates for 20 year loan</c:v>
                </c:pt>
              </c:strCache>
            </c:strRef>
          </c:tx>
          <c:layout>
            <c:manualLayout>
              <c:xMode val="edge"/>
              <c:yMode val="edge"/>
              <c:x val="3.1532035885617475E-2"/>
              <c:y val="0.126573074270672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96445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7.3726618465135618E-2"/>
          <c:y val="0.89578750208200264"/>
          <c:w val="0.89999991329913276"/>
          <c:h val="9.09766695385227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11158812698935"/>
          <c:y val="7.0498454627943435E-2"/>
          <c:w val="0.64863069336423484"/>
          <c:h val="0.54917783147172872"/>
        </c:manualLayout>
      </c:layout>
      <c:scatterChart>
        <c:scatterStyle val="smoothMarker"/>
        <c:varyColors val="0"/>
        <c:ser>
          <c:idx val="2"/>
          <c:order val="0"/>
          <c:tx>
            <c:v>Net Revenue Function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yVal>
            <c:numRef>
              <c:f>Calcs!$C$4:$C$27</c:f>
              <c:numCache>
                <c:formatCode>"$"#,##0.00</c:formatCode>
                <c:ptCount val="24"/>
                <c:pt idx="0">
                  <c:v>0</c:v>
                </c:pt>
                <c:pt idx="1">
                  <c:v>28.3983801887866</c:v>
                </c:pt>
                <c:pt idx="2">
                  <c:v>55.460659092943999</c:v>
                </c:pt>
                <c:pt idx="3">
                  <c:v>81.1868367124721</c:v>
                </c:pt>
                <c:pt idx="4">
                  <c:v>105.57691304737099</c:v>
                </c:pt>
                <c:pt idx="5">
                  <c:v>128.63088809764099</c:v>
                </c:pt>
                <c:pt idx="6">
                  <c:v>150.348761863281</c:v>
                </c:pt>
                <c:pt idx="7">
                  <c:v>170.73053434429201</c:v>
                </c:pt>
                <c:pt idx="8">
                  <c:v>189.77620554067499</c:v>
                </c:pt>
                <c:pt idx="9">
                  <c:v>207.48577545242699</c:v>
                </c:pt>
                <c:pt idx="10">
                  <c:v>223.85924407955099</c:v>
                </c:pt>
                <c:pt idx="11">
                  <c:v>238.89661142204599</c:v>
                </c:pt>
                <c:pt idx="12">
                  <c:v>252.59787747991101</c:v>
                </c:pt>
                <c:pt idx="13">
                  <c:v>264.96304225314702</c:v>
                </c:pt>
                <c:pt idx="14">
                  <c:v>275.99210574175299</c:v>
                </c:pt>
                <c:pt idx="15">
                  <c:v>285.68506794573102</c:v>
                </c:pt>
                <c:pt idx="16">
                  <c:v>294.041928865079</c:v>
                </c:pt>
                <c:pt idx="17">
                  <c:v>301.06268849979898</c:v>
                </c:pt>
                <c:pt idx="18">
                  <c:v>306.74734684988903</c:v>
                </c:pt>
                <c:pt idx="19">
                  <c:v>311.09590391534903</c:v>
                </c:pt>
                <c:pt idx="20">
                  <c:v>314.10835969618103</c:v>
                </c:pt>
                <c:pt idx="21">
                  <c:v>315.78471419238298</c:v>
                </c:pt>
                <c:pt idx="22">
                  <c:v>316.12496740395602</c:v>
                </c:pt>
                <c:pt idx="23">
                  <c:v>315.12911933089998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73-4AAD-848D-A3F4F6930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022432"/>
        <c:axId val="448022824"/>
      </c:scatterChart>
      <c:scatterChart>
        <c:scatterStyle val="smoothMarker"/>
        <c:varyColors val="0"/>
        <c:ser>
          <c:idx val="0"/>
          <c:order val="1"/>
          <c:tx>
            <c:v>Corn Production Function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Calcs!$A$4:$A$27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Calcs!$B$4:$B$27</c:f>
              <c:numCache>
                <c:formatCode>0.0</c:formatCode>
                <c:ptCount val="24"/>
                <c:pt idx="0">
                  <c:v>51.948762233736332</c:v>
                </c:pt>
                <c:pt idx="1">
                  <c:v>67.293220870914098</c:v>
                </c:pt>
                <c:pt idx="2">
                  <c:v>81.984723821403449</c:v>
                </c:pt>
                <c:pt idx="3">
                  <c:v>96.023271085204385</c:v>
                </c:pt>
                <c:pt idx="4">
                  <c:v>109.40886266231691</c:v>
                </c:pt>
                <c:pt idx="5">
                  <c:v>122.14149855274101</c:v>
                </c:pt>
                <c:pt idx="6">
                  <c:v>134.22117875647672</c:v>
                </c:pt>
                <c:pt idx="7">
                  <c:v>145.64790327352398</c:v>
                </c:pt>
                <c:pt idx="8">
                  <c:v>156.4216721038828</c:v>
                </c:pt>
                <c:pt idx="9">
                  <c:v>166.54248524755323</c:v>
                </c:pt>
                <c:pt idx="10">
                  <c:v>176.0103427045353</c:v>
                </c:pt>
                <c:pt idx="11">
                  <c:v>184.82524447482891</c:v>
                </c:pt>
                <c:pt idx="12">
                  <c:v>192.98719055843407</c:v>
                </c:pt>
                <c:pt idx="13">
                  <c:v>200.49618095535084</c:v>
                </c:pt>
                <c:pt idx="14">
                  <c:v>207.35221566557925</c:v>
                </c:pt>
                <c:pt idx="15">
                  <c:v>213.55529468911919</c:v>
                </c:pt>
                <c:pt idx="16">
                  <c:v>219.10541802597072</c:v>
                </c:pt>
                <c:pt idx="17">
                  <c:v>224.0025856761338</c:v>
                </c:pt>
                <c:pt idx="18">
                  <c:v>228.2467976396085</c:v>
                </c:pt>
                <c:pt idx="19">
                  <c:v>231.83805391639481</c:v>
                </c:pt>
                <c:pt idx="20">
                  <c:v>234.77635450649268</c:v>
                </c:pt>
                <c:pt idx="21">
                  <c:v>237.06169940990213</c:v>
                </c:pt>
                <c:pt idx="22">
                  <c:v>238.6940886266232</c:v>
                </c:pt>
                <c:pt idx="23">
                  <c:v>239.67352215665582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73-4AAD-848D-A3F4F6930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241656"/>
        <c:axId val="451580688"/>
      </c:scatterChart>
      <c:valAx>
        <c:axId val="44802243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/>
        </c:spPr>
        <c:txPr>
          <a:bodyPr/>
          <a:lstStyle/>
          <a:p>
            <a:pPr>
              <a:defRPr sz="1200" baseline="0">
                <a:latin typeface="Times New Roman" pitchFamily="18" charset="0"/>
              </a:defRPr>
            </a:pPr>
            <a:endParaRPr lang="en-US"/>
          </a:p>
        </c:txPr>
        <c:crossAx val="448022824"/>
        <c:crosses val="autoZero"/>
        <c:crossBetween val="midCat"/>
      </c:valAx>
      <c:valAx>
        <c:axId val="448022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 baseline="0">
                    <a:solidFill>
                      <a:schemeClr val="accent1">
                        <a:lumMod val="50000"/>
                      </a:schemeClr>
                    </a:solidFill>
                    <a:latin typeface="Times New Roman" pitchFamily="18" charset="0"/>
                  </a:defRPr>
                </a:pPr>
                <a:r>
                  <a:rPr lang="en-US" sz="1400" baseline="0">
                    <a:solidFill>
                      <a:schemeClr val="accent1">
                        <a:lumMod val="50000"/>
                      </a:schemeClr>
                    </a:solidFill>
                    <a:latin typeface="Times New Roman" pitchFamily="18" charset="0"/>
                  </a:rPr>
                  <a:t>Net Revenue ($/ac)</a:t>
                </a:r>
              </a:p>
            </c:rich>
          </c:tx>
          <c:layout>
            <c:manualLayout>
              <c:xMode val="edge"/>
              <c:yMode val="edge"/>
              <c:x val="3.894588624629753E-2"/>
              <c:y val="9.652938538109844E-2"/>
            </c:manualLayout>
          </c:layout>
          <c:overlay val="0"/>
        </c:title>
        <c:numFmt formatCode="&quot;$&quot;#,##0" sourceLinked="0"/>
        <c:majorTickMark val="in"/>
        <c:minorTickMark val="none"/>
        <c:tickLblPos val="nextTo"/>
        <c:spPr>
          <a:ln/>
        </c:spPr>
        <c:txPr>
          <a:bodyPr/>
          <a:lstStyle/>
          <a:p>
            <a:pPr>
              <a:defRPr sz="1400" baseline="0">
                <a:solidFill>
                  <a:schemeClr val="accent1">
                    <a:lumMod val="50000"/>
                  </a:schemeClr>
                </a:solidFill>
                <a:latin typeface="Times New Roman" pitchFamily="18" charset="0"/>
              </a:defRPr>
            </a:pPr>
            <a:endParaRPr lang="en-US"/>
          </a:p>
        </c:txPr>
        <c:crossAx val="448022432"/>
        <c:crosses val="autoZero"/>
        <c:crossBetween val="midCat"/>
        <c:majorUnit val="100"/>
      </c:valAx>
      <c:valAx>
        <c:axId val="4515806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400" baseline="0">
                    <a:solidFill>
                      <a:srgbClr val="FF0000"/>
                    </a:solidFill>
                    <a:latin typeface="Times New Roman" pitchFamily="18" charset="0"/>
                  </a:defRPr>
                </a:pPr>
                <a:r>
                  <a:rPr lang="en-US" sz="1400" baseline="0">
                    <a:solidFill>
                      <a:srgbClr val="FF0000"/>
                    </a:solidFill>
                    <a:latin typeface="Times New Roman" pitchFamily="18" charset="0"/>
                  </a:rPr>
                  <a:t>Crop Yield (bu)</a:t>
                </a:r>
              </a:p>
            </c:rich>
          </c:tx>
          <c:layout>
            <c:manualLayout>
              <c:xMode val="edge"/>
              <c:yMode val="edge"/>
              <c:x val="0.94195002558914698"/>
              <c:y val="0.1535740638925863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 baseline="0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23241656"/>
        <c:crosses val="max"/>
        <c:crossBetween val="midCat"/>
        <c:majorUnit val="150"/>
      </c:valAx>
      <c:valAx>
        <c:axId val="323241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5158068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5.5100548995482342E-2"/>
          <c:y val="0.83635373864228268"/>
          <c:w val="0.92944307585966701"/>
          <c:h val="0.16321908096533369"/>
        </c:manualLayout>
      </c:layout>
      <c:overlay val="0"/>
      <c:txPr>
        <a:bodyPr/>
        <a:lstStyle/>
        <a:p>
          <a:pPr>
            <a:defRPr sz="1400" baseline="0">
              <a:latin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chart" Target="../charts/chart2.xml"/><Relationship Id="rId7" Type="http://schemas.openxmlformats.org/officeDocument/2006/relationships/hyperlink" Target="http://www.eia.gov/todayinenergy/detail.php?id=2470" TargetMode="External"/><Relationship Id="rId2" Type="http://schemas.openxmlformats.org/officeDocument/2006/relationships/chart" Target="../charts/chart1.xml"/><Relationship Id="rId1" Type="http://schemas.openxmlformats.org/officeDocument/2006/relationships/image" Target="../media/image12.png"/><Relationship Id="rId6" Type="http://schemas.openxmlformats.org/officeDocument/2006/relationships/chart" Target="../charts/chart3.xml"/><Relationship Id="rId11" Type="http://schemas.openxmlformats.org/officeDocument/2006/relationships/image" Target="../media/image17.jpeg"/><Relationship Id="rId5" Type="http://schemas.openxmlformats.org/officeDocument/2006/relationships/image" Target="../media/image14.gif"/><Relationship Id="rId10" Type="http://schemas.openxmlformats.org/officeDocument/2006/relationships/hyperlink" Target="http://www.kgs.ku.edu/HighPlains/maps/estimated_usable_life_well_yields9606.pdf" TargetMode="External"/><Relationship Id="rId4" Type="http://schemas.openxmlformats.org/officeDocument/2006/relationships/image" Target="../media/image13.jpeg"/><Relationship Id="rId9" Type="http://schemas.openxmlformats.org/officeDocument/2006/relationships/image" Target="../media/image1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24848</xdr:rowOff>
    </xdr:from>
    <xdr:to>
      <xdr:col>12</xdr:col>
      <xdr:colOff>571500</xdr:colOff>
      <xdr:row>19</xdr:row>
      <xdr:rowOff>173183</xdr:rowOff>
    </xdr:to>
    <xdr:sp macro="" textlink="">
      <xdr:nvSpPr>
        <xdr:cNvPr id="10" name="TextBox 9"/>
        <xdr:cNvSpPr txBox="1"/>
      </xdr:nvSpPr>
      <xdr:spPr>
        <a:xfrm>
          <a:off x="1" y="405848"/>
          <a:ext cx="8364681" cy="3490744"/>
        </a:xfrm>
        <a:prstGeom prst="rect">
          <a:avLst/>
        </a:prstGeom>
        <a:solidFill>
          <a:schemeClr val="accen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oneCell">
    <xdr:from>
      <xdr:col>0</xdr:col>
      <xdr:colOff>0</xdr:colOff>
      <xdr:row>2</xdr:row>
      <xdr:rowOff>34636</xdr:rowOff>
    </xdr:from>
    <xdr:to>
      <xdr:col>7</xdr:col>
      <xdr:colOff>200287</xdr:colOff>
      <xdr:row>19</xdr:row>
      <xdr:rowOff>151437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5606"/>
        <a:stretch/>
      </xdr:blipFill>
      <xdr:spPr>
        <a:xfrm>
          <a:off x="0" y="415636"/>
          <a:ext cx="4356651" cy="347652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</xdr:col>
      <xdr:colOff>171450</xdr:colOff>
      <xdr:row>11</xdr:row>
      <xdr:rowOff>95250</xdr:rowOff>
    </xdr:from>
    <xdr:to>
      <xdr:col>4</xdr:col>
      <xdr:colOff>56029</xdr:colOff>
      <xdr:row>13</xdr:row>
      <xdr:rowOff>88391</xdr:rowOff>
    </xdr:to>
    <xdr:sp macro="" textlink="">
      <xdr:nvSpPr>
        <xdr:cNvPr id="3" name="TextBox 8"/>
        <xdr:cNvSpPr txBox="1"/>
      </xdr:nvSpPr>
      <xdr:spPr>
        <a:xfrm>
          <a:off x="1381685" y="2190750"/>
          <a:ext cx="1094815" cy="37414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1"/>
            <a:t>750 acres</a:t>
          </a:r>
        </a:p>
      </xdr:txBody>
    </xdr:sp>
    <xdr:clientData/>
  </xdr:twoCellAnchor>
  <xdr:twoCellAnchor>
    <xdr:from>
      <xdr:col>0</xdr:col>
      <xdr:colOff>200025</xdr:colOff>
      <xdr:row>3</xdr:row>
      <xdr:rowOff>66675</xdr:rowOff>
    </xdr:from>
    <xdr:to>
      <xdr:col>6</xdr:col>
      <xdr:colOff>415637</xdr:colOff>
      <xdr:row>5</xdr:row>
      <xdr:rowOff>91107</xdr:rowOff>
    </xdr:to>
    <xdr:sp macro="" textlink="">
      <xdr:nvSpPr>
        <xdr:cNvPr id="4" name="TextBox 3"/>
        <xdr:cNvSpPr txBox="1"/>
      </xdr:nvSpPr>
      <xdr:spPr>
        <a:xfrm>
          <a:off x="200025" y="638175"/>
          <a:ext cx="3765839" cy="405432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000" b="1"/>
            <a:t>1. Select your location and area</a:t>
          </a:r>
        </a:p>
      </xdr:txBody>
    </xdr:sp>
    <xdr:clientData/>
  </xdr:twoCellAnchor>
  <xdr:twoCellAnchor>
    <xdr:from>
      <xdr:col>7</xdr:col>
      <xdr:colOff>285750</xdr:colOff>
      <xdr:row>9</xdr:row>
      <xdr:rowOff>188766</xdr:rowOff>
    </xdr:from>
    <xdr:to>
      <xdr:col>12</xdr:col>
      <xdr:colOff>523875</xdr:colOff>
      <xdr:row>15</xdr:row>
      <xdr:rowOff>33324</xdr:rowOff>
    </xdr:to>
    <xdr:sp macro="" textlink="">
      <xdr:nvSpPr>
        <xdr:cNvPr id="6" name="TextBox 5"/>
        <xdr:cNvSpPr txBox="1"/>
      </xdr:nvSpPr>
      <xdr:spPr>
        <a:xfrm>
          <a:off x="4442114" y="1903266"/>
          <a:ext cx="3874943" cy="9875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federal and state incentives are</a:t>
          </a:r>
          <a:r>
            <a:rPr lang="en-US" sz="18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there </a:t>
          </a:r>
          <a:r>
            <a:rPr lang="en-US" sz="1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the wind power development? </a:t>
          </a:r>
          <a:endParaRPr lang="en-US" sz="1800" b="1" u="sng"/>
        </a:p>
      </xdr:txBody>
    </xdr:sp>
    <xdr:clientData/>
  </xdr:twoCellAnchor>
  <xdr:twoCellAnchor>
    <xdr:from>
      <xdr:col>7</xdr:col>
      <xdr:colOff>323850</xdr:colOff>
      <xdr:row>4</xdr:row>
      <xdr:rowOff>168594</xdr:rowOff>
    </xdr:from>
    <xdr:to>
      <xdr:col>12</xdr:col>
      <xdr:colOff>476250</xdr:colOff>
      <xdr:row>8</xdr:row>
      <xdr:rowOff>157389</xdr:rowOff>
    </xdr:to>
    <xdr:sp macro="" textlink="">
      <xdr:nvSpPr>
        <xdr:cNvPr id="8" name="TextBox 7"/>
        <xdr:cNvSpPr txBox="1"/>
      </xdr:nvSpPr>
      <xdr:spPr>
        <a:xfrm>
          <a:off x="4505325" y="930594"/>
          <a:ext cx="3800475" cy="7507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local pumping enough to deplete the groundwater? </a:t>
          </a:r>
        </a:p>
        <a:p>
          <a:endParaRPr lang="en-US" sz="1800">
            <a:effectLst/>
          </a:endParaRPr>
        </a:p>
        <a:p>
          <a:endParaRPr lang="en-US" sz="2000"/>
        </a:p>
      </xdr:txBody>
    </xdr:sp>
    <xdr:clientData/>
  </xdr:twoCellAnchor>
  <xdr:twoCellAnchor>
    <xdr:from>
      <xdr:col>7</xdr:col>
      <xdr:colOff>721258</xdr:colOff>
      <xdr:row>2</xdr:row>
      <xdr:rowOff>152153</xdr:rowOff>
    </xdr:from>
    <xdr:to>
      <xdr:col>11</xdr:col>
      <xdr:colOff>561610</xdr:colOff>
      <xdr:row>5</xdr:row>
      <xdr:rowOff>16081</xdr:rowOff>
    </xdr:to>
    <xdr:sp macro="" textlink="">
      <xdr:nvSpPr>
        <xdr:cNvPr id="9" name="TextBox 8"/>
        <xdr:cNvSpPr txBox="1"/>
      </xdr:nvSpPr>
      <xdr:spPr>
        <a:xfrm>
          <a:off x="4877622" y="533153"/>
          <a:ext cx="2871033" cy="4354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/>
            <a:t>FAQs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22</xdr:row>
          <xdr:rowOff>114300</xdr:rowOff>
        </xdr:from>
        <xdr:to>
          <xdr:col>4</xdr:col>
          <xdr:colOff>57150</xdr:colOff>
          <xdr:row>22</xdr:row>
          <xdr:rowOff>228600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22</xdr:row>
          <xdr:rowOff>114300</xdr:rowOff>
        </xdr:from>
        <xdr:to>
          <xdr:col>7</xdr:col>
          <xdr:colOff>590550</xdr:colOff>
          <xdr:row>22</xdr:row>
          <xdr:rowOff>228600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33</xdr:row>
          <xdr:rowOff>19050</xdr:rowOff>
        </xdr:from>
        <xdr:to>
          <xdr:col>3</xdr:col>
          <xdr:colOff>19050</xdr:colOff>
          <xdr:row>33</xdr:row>
          <xdr:rowOff>142875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33</xdr:row>
          <xdr:rowOff>28575</xdr:rowOff>
        </xdr:from>
        <xdr:to>
          <xdr:col>7</xdr:col>
          <xdr:colOff>47625</xdr:colOff>
          <xdr:row>33</xdr:row>
          <xdr:rowOff>152400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22</xdr:row>
          <xdr:rowOff>57150</xdr:rowOff>
        </xdr:from>
        <xdr:to>
          <xdr:col>14</xdr:col>
          <xdr:colOff>723900</xdr:colOff>
          <xdr:row>22</xdr:row>
          <xdr:rowOff>219075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23</xdr:row>
          <xdr:rowOff>57150</xdr:rowOff>
        </xdr:from>
        <xdr:to>
          <xdr:col>14</xdr:col>
          <xdr:colOff>723900</xdr:colOff>
          <xdr:row>23</xdr:row>
          <xdr:rowOff>219075</xdr:rowOff>
        </xdr:to>
        <xdr:sp macro="" textlink="">
          <xdr:nvSpPr>
            <xdr:cNvPr id="1044" name="CommandButton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62</xdr:row>
          <xdr:rowOff>19050</xdr:rowOff>
        </xdr:from>
        <xdr:to>
          <xdr:col>3</xdr:col>
          <xdr:colOff>47625</xdr:colOff>
          <xdr:row>62</xdr:row>
          <xdr:rowOff>142875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62</xdr:row>
          <xdr:rowOff>19050</xdr:rowOff>
        </xdr:from>
        <xdr:to>
          <xdr:col>7</xdr:col>
          <xdr:colOff>104775</xdr:colOff>
          <xdr:row>62</xdr:row>
          <xdr:rowOff>142875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42</xdr:row>
          <xdr:rowOff>114300</xdr:rowOff>
        </xdr:from>
        <xdr:to>
          <xdr:col>4</xdr:col>
          <xdr:colOff>314325</xdr:colOff>
          <xdr:row>42</xdr:row>
          <xdr:rowOff>228600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42</xdr:row>
          <xdr:rowOff>76200</xdr:rowOff>
        </xdr:from>
        <xdr:to>
          <xdr:col>7</xdr:col>
          <xdr:colOff>523875</xdr:colOff>
          <xdr:row>42</xdr:row>
          <xdr:rowOff>190500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476250</xdr:colOff>
          <xdr:row>43</xdr:row>
          <xdr:rowOff>114300</xdr:rowOff>
        </xdr:from>
        <xdr:to>
          <xdr:col>3</xdr:col>
          <xdr:colOff>47625</xdr:colOff>
          <xdr:row>43</xdr:row>
          <xdr:rowOff>228600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43</xdr:row>
          <xdr:rowOff>114300</xdr:rowOff>
        </xdr:from>
        <xdr:to>
          <xdr:col>7</xdr:col>
          <xdr:colOff>619125</xdr:colOff>
          <xdr:row>43</xdr:row>
          <xdr:rowOff>228600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8</xdr:row>
          <xdr:rowOff>123825</xdr:rowOff>
        </xdr:from>
        <xdr:to>
          <xdr:col>10</xdr:col>
          <xdr:colOff>285750</xdr:colOff>
          <xdr:row>9</xdr:row>
          <xdr:rowOff>133350</xdr:rowOff>
        </xdr:to>
        <xdr:sp macro="" textlink="">
          <xdr:nvSpPr>
            <xdr:cNvPr id="1055" name="CommandButton5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15</xdr:row>
          <xdr:rowOff>76200</xdr:rowOff>
        </xdr:from>
        <xdr:to>
          <xdr:col>10</xdr:col>
          <xdr:colOff>257175</xdr:colOff>
          <xdr:row>16</xdr:row>
          <xdr:rowOff>114300</xdr:rowOff>
        </xdr:to>
        <xdr:sp macro="" textlink="">
          <xdr:nvSpPr>
            <xdr:cNvPr id="1056" name="CommandButton6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71</xdr:row>
          <xdr:rowOff>66675</xdr:rowOff>
        </xdr:from>
        <xdr:to>
          <xdr:col>6</xdr:col>
          <xdr:colOff>552450</xdr:colOff>
          <xdr:row>71</xdr:row>
          <xdr:rowOff>228600</xdr:rowOff>
        </xdr:to>
        <xdr:sp macro="" textlink="">
          <xdr:nvSpPr>
            <xdr:cNvPr id="1058" name="CommandButton8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43</xdr:row>
          <xdr:rowOff>85725</xdr:rowOff>
        </xdr:from>
        <xdr:to>
          <xdr:col>5</xdr:col>
          <xdr:colOff>314325</xdr:colOff>
          <xdr:row>43</xdr:row>
          <xdr:rowOff>209550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53</xdr:row>
          <xdr:rowOff>219075</xdr:rowOff>
        </xdr:from>
        <xdr:to>
          <xdr:col>13</xdr:col>
          <xdr:colOff>400050</xdr:colOff>
          <xdr:row>55</xdr:row>
          <xdr:rowOff>247650</xdr:rowOff>
        </xdr:to>
        <xdr:sp macro="" textlink="">
          <xdr:nvSpPr>
            <xdr:cNvPr id="1062" name="CommandButton9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30</xdr:row>
          <xdr:rowOff>133350</xdr:rowOff>
        </xdr:from>
        <xdr:to>
          <xdr:col>14</xdr:col>
          <xdr:colOff>514350</xdr:colOff>
          <xdr:row>32</xdr:row>
          <xdr:rowOff>295275</xdr:rowOff>
        </xdr:to>
        <xdr:sp macro="" textlink="">
          <xdr:nvSpPr>
            <xdr:cNvPr id="1078" name="CommandButton10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581025</xdr:colOff>
      <xdr:row>2</xdr:row>
      <xdr:rowOff>20575</xdr:rowOff>
    </xdr:from>
    <xdr:to>
      <xdr:col>18</xdr:col>
      <xdr:colOff>996661</xdr:colOff>
      <xdr:row>19</xdr:row>
      <xdr:rowOff>197469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39</xdr:row>
          <xdr:rowOff>161925</xdr:rowOff>
        </xdr:from>
        <xdr:to>
          <xdr:col>14</xdr:col>
          <xdr:colOff>466725</xdr:colOff>
          <xdr:row>41</xdr:row>
          <xdr:rowOff>76200</xdr:rowOff>
        </xdr:to>
        <xdr:sp macro="" textlink="">
          <xdr:nvSpPr>
            <xdr:cNvPr id="1085" name="CommandButton1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1013979</xdr:colOff>
      <xdr:row>2</xdr:row>
      <xdr:rowOff>24248</xdr:rowOff>
    </xdr:from>
    <xdr:to>
      <xdr:col>27</xdr:col>
      <xdr:colOff>9525</xdr:colOff>
      <xdr:row>20</xdr:row>
      <xdr:rowOff>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657225</xdr:colOff>
          <xdr:row>56</xdr:row>
          <xdr:rowOff>66675</xdr:rowOff>
        </xdr:from>
        <xdr:to>
          <xdr:col>13</xdr:col>
          <xdr:colOff>400050</xdr:colOff>
          <xdr:row>58</xdr:row>
          <xdr:rowOff>104775</xdr:rowOff>
        </xdr:to>
        <xdr:sp macro="" textlink="">
          <xdr:nvSpPr>
            <xdr:cNvPr id="1092" name="CommandButton1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519545</xdr:colOff>
      <xdr:row>51</xdr:row>
      <xdr:rowOff>174424</xdr:rowOff>
    </xdr:from>
    <xdr:to>
      <xdr:col>7</xdr:col>
      <xdr:colOff>818506</xdr:colOff>
      <xdr:row>58</xdr:row>
      <xdr:rowOff>277090</xdr:rowOff>
    </xdr:to>
    <xdr:pic macro="[0]!Picture37_Click">
      <xdr:nvPicPr>
        <xdr:cNvPr id="38" name="Picture 37" descr="http://www.mysolarpower.info/map_large_pv_KS.jp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7954" y="13665288"/>
          <a:ext cx="2827416" cy="2284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554183</xdr:colOff>
      <xdr:row>64</xdr:row>
      <xdr:rowOff>122464</xdr:rowOff>
    </xdr:from>
    <xdr:to>
      <xdr:col>7</xdr:col>
      <xdr:colOff>83729</xdr:colOff>
      <xdr:row>69</xdr:row>
      <xdr:rowOff>232865</xdr:rowOff>
    </xdr:to>
    <xdr:pic macro="[0]!Picture38_Click">
      <xdr:nvPicPr>
        <xdr:cNvPr id="39" name="Picture 38" descr="High Plains aquifer in west; glacial drift aquifers in northeas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456" y="17665782"/>
          <a:ext cx="2664137" cy="16690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35</xdr:row>
          <xdr:rowOff>28575</xdr:rowOff>
        </xdr:from>
        <xdr:to>
          <xdr:col>7</xdr:col>
          <xdr:colOff>47625</xdr:colOff>
          <xdr:row>35</xdr:row>
          <xdr:rowOff>152400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36</xdr:row>
          <xdr:rowOff>28575</xdr:rowOff>
        </xdr:from>
        <xdr:to>
          <xdr:col>7</xdr:col>
          <xdr:colOff>47625</xdr:colOff>
          <xdr:row>36</xdr:row>
          <xdr:rowOff>152400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37</xdr:row>
          <xdr:rowOff>28575</xdr:rowOff>
        </xdr:from>
        <xdr:to>
          <xdr:col>7</xdr:col>
          <xdr:colOff>47625</xdr:colOff>
          <xdr:row>37</xdr:row>
          <xdr:rowOff>152400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38</xdr:row>
          <xdr:rowOff>28575</xdr:rowOff>
        </xdr:from>
        <xdr:to>
          <xdr:col>7</xdr:col>
          <xdr:colOff>47625</xdr:colOff>
          <xdr:row>38</xdr:row>
          <xdr:rowOff>152400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53</xdr:row>
          <xdr:rowOff>285750</xdr:rowOff>
        </xdr:from>
        <xdr:to>
          <xdr:col>19</xdr:col>
          <xdr:colOff>342900</xdr:colOff>
          <xdr:row>56</xdr:row>
          <xdr:rowOff>9525</xdr:rowOff>
        </xdr:to>
        <xdr:sp macro="" textlink="">
          <xdr:nvSpPr>
            <xdr:cNvPr id="1106" name="PTC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51</xdr:row>
          <xdr:rowOff>114300</xdr:rowOff>
        </xdr:from>
        <xdr:to>
          <xdr:col>19</xdr:col>
          <xdr:colOff>314325</xdr:colOff>
          <xdr:row>53</xdr:row>
          <xdr:rowOff>152400</xdr:rowOff>
        </xdr:to>
        <xdr:sp macro="" textlink="">
          <xdr:nvSpPr>
            <xdr:cNvPr id="1107" name="ITC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56</xdr:row>
          <xdr:rowOff>133350</xdr:rowOff>
        </xdr:from>
        <xdr:to>
          <xdr:col>19</xdr:col>
          <xdr:colOff>342900</xdr:colOff>
          <xdr:row>58</xdr:row>
          <xdr:rowOff>161925</xdr:rowOff>
        </xdr:to>
        <xdr:sp macro="" textlink="">
          <xdr:nvSpPr>
            <xdr:cNvPr id="1108" name="Reset_Tax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</xdr:colOff>
      <xdr:row>35</xdr:row>
      <xdr:rowOff>0</xdr:rowOff>
    </xdr:from>
    <xdr:to>
      <xdr:col>20</xdr:col>
      <xdr:colOff>398319</xdr:colOff>
      <xdr:row>42</xdr:row>
      <xdr:rowOff>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146150</xdr:colOff>
      <xdr:row>46</xdr:row>
      <xdr:rowOff>201707</xdr:rowOff>
    </xdr:from>
    <xdr:to>
      <xdr:col>7</xdr:col>
      <xdr:colOff>717642</xdr:colOff>
      <xdr:row>51</xdr:row>
      <xdr:rowOff>56031</xdr:rowOff>
    </xdr:to>
    <xdr:pic>
      <xdr:nvPicPr>
        <xdr:cNvPr id="43" name="Picture 42" descr="http://www.nrel.gov/gis/images/80m_wind/USwind300dpe4-11.jpg">
          <a:hlinkClick xmlns:r="http://schemas.openxmlformats.org/officeDocument/2006/relationships" r:id="rId7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3297" y="11900648"/>
          <a:ext cx="1781727" cy="13671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447291</xdr:colOff>
      <xdr:row>44</xdr:row>
      <xdr:rowOff>134470</xdr:rowOff>
    </xdr:from>
    <xdr:to>
      <xdr:col>6</xdr:col>
      <xdr:colOff>270841</xdr:colOff>
      <xdr:row>49</xdr:row>
      <xdr:rowOff>65714</xdr:rowOff>
    </xdr:to>
    <xdr:pic macro="[0]!Picture36_Click">
      <xdr:nvPicPr>
        <xdr:cNvPr id="37" name="Picture 36" descr="http://apps2.eere.energy.gov/wind/windexchange/images/windmaps/ks_50m_800.jp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144" y="11228294"/>
          <a:ext cx="1750962" cy="1444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626466</xdr:colOff>
      <xdr:row>17</xdr:row>
      <xdr:rowOff>103908</xdr:rowOff>
    </xdr:from>
    <xdr:ext cx="3074355" cy="571499"/>
    <xdr:sp macro="" textlink="">
      <xdr:nvSpPr>
        <xdr:cNvPr id="5" name="TextBox 4"/>
        <xdr:cNvSpPr txBox="1"/>
      </xdr:nvSpPr>
      <xdr:spPr>
        <a:xfrm>
          <a:off x="4782830" y="3342408"/>
          <a:ext cx="3074355" cy="571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 rtl="0" eaLnBrk="1" latinLnBrk="0" hangingPunct="1"/>
          <a:r>
            <a:rPr lang="en-US" sz="1400" b="1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Plot Annual Average</a:t>
          </a:r>
          <a:endParaRPr lang="en-US" sz="1400">
            <a:effectLst/>
          </a:endParaRPr>
        </a:p>
        <a:p>
          <a:pPr algn="ctr" rtl="0" eaLnBrk="1" latinLnBrk="0" hangingPunct="1"/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Add Variability           Add Uncertainty</a:t>
          </a:r>
          <a:endParaRPr lang="en-US" sz="1400">
            <a:effectLst/>
          </a:endParaRPr>
        </a:p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18</xdr:row>
          <xdr:rowOff>114300</xdr:rowOff>
        </xdr:from>
        <xdr:to>
          <xdr:col>9</xdr:col>
          <xdr:colOff>581025</xdr:colOff>
          <xdr:row>19</xdr:row>
          <xdr:rowOff>47625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485775</xdr:colOff>
          <xdr:row>18</xdr:row>
          <xdr:rowOff>123825</xdr:rowOff>
        </xdr:from>
        <xdr:to>
          <xdr:col>12</xdr:col>
          <xdr:colOff>76200</xdr:colOff>
          <xdr:row>19</xdr:row>
          <xdr:rowOff>47625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305662</xdr:colOff>
      <xdr:row>79</xdr:row>
      <xdr:rowOff>35502</xdr:rowOff>
    </xdr:from>
    <xdr:to>
      <xdr:col>4</xdr:col>
      <xdr:colOff>83296</xdr:colOff>
      <xdr:row>80</xdr:row>
      <xdr:rowOff>92651</xdr:rowOff>
    </xdr:to>
    <xdr:sp macro="" textlink="">
      <xdr:nvSpPr>
        <xdr:cNvPr id="7" name="TextBox 6"/>
        <xdr:cNvSpPr txBox="1"/>
      </xdr:nvSpPr>
      <xdr:spPr>
        <a:xfrm>
          <a:off x="1327435" y="22358638"/>
          <a:ext cx="1093816" cy="24764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100"/>
            <a:t>Agriculture</a:t>
          </a:r>
        </a:p>
      </xdr:txBody>
    </xdr:sp>
    <xdr:clientData/>
  </xdr:twoCellAnchor>
  <xdr:twoCellAnchor>
    <xdr:from>
      <xdr:col>14</xdr:col>
      <xdr:colOff>529934</xdr:colOff>
      <xdr:row>79</xdr:row>
      <xdr:rowOff>34636</xdr:rowOff>
    </xdr:from>
    <xdr:to>
      <xdr:col>17</xdr:col>
      <xdr:colOff>259774</xdr:colOff>
      <xdr:row>80</xdr:row>
      <xdr:rowOff>121227</xdr:rowOff>
    </xdr:to>
    <xdr:sp macro="" textlink="">
      <xdr:nvSpPr>
        <xdr:cNvPr id="48" name="TextBox 47"/>
        <xdr:cNvSpPr txBox="1"/>
      </xdr:nvSpPr>
      <xdr:spPr>
        <a:xfrm>
          <a:off x="9673934" y="21665045"/>
          <a:ext cx="2604658" cy="277091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100"/>
            <a:t>Data from</a:t>
          </a:r>
          <a:r>
            <a:rPr lang="en-US" sz="1100" baseline="0"/>
            <a:t> Web (Can be changed by uiser)</a:t>
          </a:r>
          <a:endParaRPr lang="en-US" sz="1100"/>
        </a:p>
      </xdr:txBody>
    </xdr:sp>
    <xdr:clientData/>
  </xdr:twoCellAnchor>
  <xdr:twoCellAnchor>
    <xdr:from>
      <xdr:col>13</xdr:col>
      <xdr:colOff>28573</xdr:colOff>
      <xdr:row>79</xdr:row>
      <xdr:rowOff>46758</xdr:rowOff>
    </xdr:from>
    <xdr:to>
      <xdr:col>14</xdr:col>
      <xdr:colOff>379439</xdr:colOff>
      <xdr:row>80</xdr:row>
      <xdr:rowOff>103146</xdr:rowOff>
    </xdr:to>
    <xdr:sp macro="" textlink="">
      <xdr:nvSpPr>
        <xdr:cNvPr id="49" name="TextBox 48"/>
        <xdr:cNvSpPr txBox="1"/>
      </xdr:nvSpPr>
      <xdr:spPr>
        <a:xfrm>
          <a:off x="8427891" y="22369894"/>
          <a:ext cx="1095548" cy="246888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100"/>
            <a:t>Calculated</a:t>
          </a:r>
          <a:r>
            <a:rPr lang="en-US" sz="1100" baseline="0"/>
            <a:t> Cell</a:t>
          </a:r>
          <a:endParaRPr lang="en-US" sz="1100"/>
        </a:p>
      </xdr:txBody>
    </xdr:sp>
    <xdr:clientData/>
  </xdr:twoCellAnchor>
  <xdr:twoCellAnchor>
    <xdr:from>
      <xdr:col>10</xdr:col>
      <xdr:colOff>777584</xdr:colOff>
      <xdr:row>79</xdr:row>
      <xdr:rowOff>37233</xdr:rowOff>
    </xdr:from>
    <xdr:to>
      <xdr:col>12</xdr:col>
      <xdr:colOff>482309</xdr:colOff>
      <xdr:row>80</xdr:row>
      <xdr:rowOff>93621</xdr:rowOff>
    </xdr:to>
    <xdr:sp macro="" textlink="">
      <xdr:nvSpPr>
        <xdr:cNvPr id="50" name="TextBox 49"/>
        <xdr:cNvSpPr txBox="1"/>
      </xdr:nvSpPr>
      <xdr:spPr>
        <a:xfrm>
          <a:off x="7185311" y="22360369"/>
          <a:ext cx="1090180" cy="246888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100"/>
            <a:t>User Input</a:t>
          </a:r>
          <a:r>
            <a:rPr lang="en-US" sz="1100" baseline="0"/>
            <a:t> Cell</a:t>
          </a:r>
          <a:endParaRPr lang="en-US" sz="1100"/>
        </a:p>
      </xdr:txBody>
    </xdr:sp>
    <xdr:clientData/>
  </xdr:twoCellAnchor>
  <xdr:twoCellAnchor>
    <xdr:from>
      <xdr:col>8</xdr:col>
      <xdr:colOff>87454</xdr:colOff>
      <xdr:row>79</xdr:row>
      <xdr:rowOff>54551</xdr:rowOff>
    </xdr:from>
    <xdr:to>
      <xdr:col>9</xdr:col>
      <xdr:colOff>526643</xdr:colOff>
      <xdr:row>80</xdr:row>
      <xdr:rowOff>110939</xdr:rowOff>
    </xdr:to>
    <xdr:sp macro="" textlink="">
      <xdr:nvSpPr>
        <xdr:cNvPr id="51" name="TextBox 50"/>
        <xdr:cNvSpPr txBox="1"/>
      </xdr:nvSpPr>
      <xdr:spPr>
        <a:xfrm>
          <a:off x="5109727" y="22377687"/>
          <a:ext cx="1097280" cy="24688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100"/>
            <a:t>Climate</a:t>
          </a:r>
        </a:p>
      </xdr:txBody>
    </xdr:sp>
    <xdr:clientData/>
  </xdr:twoCellAnchor>
  <xdr:twoCellAnchor>
    <xdr:from>
      <xdr:col>6</xdr:col>
      <xdr:colOff>296138</xdr:colOff>
      <xdr:row>79</xdr:row>
      <xdr:rowOff>54551</xdr:rowOff>
    </xdr:from>
    <xdr:to>
      <xdr:col>7</xdr:col>
      <xdr:colOff>783818</xdr:colOff>
      <xdr:row>80</xdr:row>
      <xdr:rowOff>110939</xdr:rowOff>
    </xdr:to>
    <xdr:sp macro="" textlink="">
      <xdr:nvSpPr>
        <xdr:cNvPr id="52" name="TextBox 51"/>
        <xdr:cNvSpPr txBox="1"/>
      </xdr:nvSpPr>
      <xdr:spPr>
        <a:xfrm>
          <a:off x="3846365" y="22377687"/>
          <a:ext cx="1093817" cy="246888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100"/>
            <a:t>Water</a:t>
          </a:r>
        </a:p>
      </xdr:txBody>
    </xdr:sp>
    <xdr:clientData/>
  </xdr:twoCellAnchor>
  <xdr:twoCellAnchor>
    <xdr:from>
      <xdr:col>4</xdr:col>
      <xdr:colOff>252842</xdr:colOff>
      <xdr:row>79</xdr:row>
      <xdr:rowOff>45027</xdr:rowOff>
    </xdr:from>
    <xdr:to>
      <xdr:col>6</xdr:col>
      <xdr:colOff>130057</xdr:colOff>
      <xdr:row>80</xdr:row>
      <xdr:rowOff>102177</xdr:rowOff>
    </xdr:to>
    <xdr:sp macro="" textlink="">
      <xdr:nvSpPr>
        <xdr:cNvPr id="53" name="TextBox 52"/>
        <xdr:cNvSpPr txBox="1"/>
      </xdr:nvSpPr>
      <xdr:spPr>
        <a:xfrm>
          <a:off x="2590797" y="22368163"/>
          <a:ext cx="1089487" cy="24765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sz="1100"/>
            <a:t>Electricity</a:t>
          </a:r>
        </a:p>
      </xdr:txBody>
    </xdr:sp>
    <xdr:clientData/>
  </xdr:twoCellAnchor>
  <xdr:twoCellAnchor editAs="oneCell">
    <xdr:from>
      <xdr:col>5</xdr:col>
      <xdr:colOff>163360</xdr:colOff>
      <xdr:row>66</xdr:row>
      <xdr:rowOff>86591</xdr:rowOff>
    </xdr:from>
    <xdr:to>
      <xdr:col>8</xdr:col>
      <xdr:colOff>3462</xdr:colOff>
      <xdr:row>71</xdr:row>
      <xdr:rowOff>12990</xdr:rowOff>
    </xdr:to>
    <xdr:pic>
      <xdr:nvPicPr>
        <xdr:cNvPr id="11" name="Picture 10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7451" y="17907000"/>
          <a:ext cx="1918284" cy="1485035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0.1721</cdr:x>
      <cdr:y>0</cdr:y>
    </cdr:from>
    <cdr:to>
      <cdr:x>0.99157</cdr:x>
      <cdr:y>0.2362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77610" y="0"/>
          <a:ext cx="4654867" cy="8312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aseline="0"/>
            <a:t>Total = net income from Ag (reduced irrigation) + Energy.</a:t>
          </a:r>
        </a:p>
        <a:p xmlns:a="http://schemas.openxmlformats.org/drawingml/2006/main">
          <a:r>
            <a:rPr lang="en-US" sz="1400" baseline="0"/>
            <a:t>Ag net income dips occur in radomly generated drought years. They change when file is saved or opened.</a:t>
          </a:r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0.15267</cdr:x>
      <cdr:y>0.01108</cdr:y>
    </cdr:from>
    <cdr:to>
      <cdr:x>1</cdr:x>
      <cdr:y>0.23743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91021" y="38994"/>
          <a:ext cx="4945207" cy="7965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aseline="0">
              <a:effectLst/>
              <a:latin typeface="+mn-lt"/>
              <a:ea typeface="+mn-ea"/>
              <a:cs typeface="+mn-cs"/>
            </a:rPr>
            <a:t>Total = net income from Ag (reduced irrigation) + Energy.</a:t>
          </a:r>
          <a:endParaRPr lang="en-US" sz="1400">
            <a:effectLst/>
          </a:endParaRPr>
        </a:p>
        <a:p xmlns:a="http://schemas.openxmlformats.org/drawingml/2006/main">
          <a:r>
            <a:rPr lang="en-US" sz="1400" baseline="0">
              <a:effectLst/>
              <a:latin typeface="+mn-lt"/>
              <a:ea typeface="+mn-ea"/>
              <a:cs typeface="+mn-cs"/>
            </a:rPr>
            <a:t>Ag net income dips occur in radomly generated drought years. They change when file is saved or opened.</a:t>
          </a:r>
          <a:endParaRPr lang="en-US" sz="1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0.28666</cdr:x>
      <cdr:y>0.68804</cdr:y>
    </cdr:from>
    <cdr:to>
      <cdr:x>0.78875</cdr:x>
      <cdr:y>0.94362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21558" y="1902195"/>
          <a:ext cx="2840182" cy="706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 rtl="0"/>
          <a:r>
            <a:rPr lang="en-US" sz="1400" b="1" i="0" baseline="0">
              <a:effectLst/>
              <a:latin typeface="+mn-lt"/>
              <a:ea typeface="+mn-ea"/>
              <a:cs typeface="+mn-cs"/>
            </a:rPr>
            <a:t>Applied Irrigation (inches)). </a:t>
          </a:r>
          <a:endParaRPr lang="en-US" sz="1400">
            <a:effectLst/>
          </a:endParaRPr>
        </a:p>
        <a:p xmlns:a="http://schemas.openxmlformats.org/drawingml/2006/main">
          <a:pPr algn="ctr" rtl="0"/>
          <a:r>
            <a:rPr lang="en-US" sz="1400" b="1" i="0" baseline="0">
              <a:effectLst/>
              <a:latin typeface="+mn-lt"/>
              <a:ea typeface="+mn-ea"/>
              <a:cs typeface="+mn-cs"/>
            </a:rPr>
            <a:t>Total water = irrigation + precipitation</a:t>
          </a:r>
          <a:endParaRPr lang="en-US" sz="1400">
            <a:effectLst/>
          </a:endParaRPr>
        </a:p>
        <a:p xmlns:a="http://schemas.openxmlformats.org/drawingml/2006/main">
          <a:pPr algn="ctr"/>
          <a:endParaRPr lang="en-US" sz="14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34" Type="http://schemas.openxmlformats.org/officeDocument/2006/relationships/ctrlProp" Target="../ctrlProps/ctrlProp8.xml"/><Relationship Id="rId42" Type="http://schemas.openxmlformats.org/officeDocument/2006/relationships/ctrlProp" Target="../ctrlProps/ctrlProp16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trlProp" Target="../ctrlProps/ctrlProp7.xml"/><Relationship Id="rId38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trlProp" Target="../ctrlProps/ctrlProp3.xml"/><Relationship Id="rId41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ctrlProp" Target="../ctrlProps/ctrlProp6.xml"/><Relationship Id="rId37" Type="http://schemas.openxmlformats.org/officeDocument/2006/relationships/ctrlProp" Target="../ctrlProps/ctrlProp11.xml"/><Relationship Id="rId40" Type="http://schemas.openxmlformats.org/officeDocument/2006/relationships/ctrlProp" Target="../ctrlProps/ctrlProp14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ctrlProp" Target="../ctrlProps/ctrlProp2.xml"/><Relationship Id="rId36" Type="http://schemas.openxmlformats.org/officeDocument/2006/relationships/ctrlProp" Target="../ctrlProps/ctrlProp10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trlProp" Target="../ctrlProps/ctrlProp1.xml"/><Relationship Id="rId30" Type="http://schemas.openxmlformats.org/officeDocument/2006/relationships/ctrlProp" Target="../ctrlProps/ctrlProp4.xml"/><Relationship Id="rId35" Type="http://schemas.openxmlformats.org/officeDocument/2006/relationships/ctrlProp" Target="../ctrlProps/ctrlProp9.xml"/><Relationship Id="rId43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Q108"/>
  <sheetViews>
    <sheetView tabSelected="1" zoomScale="55" zoomScaleNormal="55" workbookViewId="0">
      <pane ySplit="21" topLeftCell="A22" activePane="bottomLeft" state="frozenSplit"/>
      <selection pane="bottomLeft" activeCell="AE16" sqref="AE16"/>
    </sheetView>
  </sheetViews>
  <sheetFormatPr defaultRowHeight="15"/>
  <cols>
    <col min="1" max="1" width="9.140625" style="64"/>
    <col min="2" max="2" width="6.28515625" style="64" customWidth="1"/>
    <col min="3" max="3" width="9.140625" style="64"/>
    <col min="4" max="4" width="10.7109375" style="64" customWidth="1"/>
    <col min="5" max="7" width="9.140625" style="64"/>
    <col min="8" max="8" width="13" style="64" customWidth="1"/>
    <col min="9" max="9" width="9.85546875" style="64" customWidth="1"/>
    <col min="10" max="10" width="11" style="64" customWidth="1"/>
    <col min="11" max="11" width="11.7109375" style="64" customWidth="1"/>
    <col min="12" max="13" width="9.140625" style="64"/>
    <col min="14" max="14" width="11.140625" style="64" customWidth="1"/>
    <col min="15" max="15" width="15.7109375" style="64" bestFit="1" customWidth="1"/>
    <col min="16" max="16" width="9.140625" style="64"/>
    <col min="17" max="17" width="18.140625" style="64" customWidth="1"/>
    <col min="18" max="18" width="15.5703125" style="64" customWidth="1"/>
    <col min="19" max="19" width="18.42578125" style="64" customWidth="1"/>
    <col min="20" max="20" width="12" style="64" customWidth="1"/>
    <col min="21" max="21" width="6.28515625" style="64" customWidth="1"/>
    <col min="22" max="22" width="19.140625" style="64" customWidth="1"/>
    <col min="23" max="23" width="0.5703125" style="64" customWidth="1"/>
    <col min="24" max="24" width="12.5703125" style="64" customWidth="1"/>
    <col min="25" max="25" width="10.5703125" style="64" bestFit="1" customWidth="1"/>
    <col min="26" max="26" width="13.5703125" style="64" customWidth="1"/>
    <col min="27" max="27" width="8.5703125" style="64" customWidth="1"/>
    <col min="28" max="28" width="6.85546875" style="64" customWidth="1"/>
    <col min="29" max="29" width="4.28515625" style="64" customWidth="1"/>
    <col min="30" max="30" width="5.42578125" style="64" customWidth="1"/>
    <col min="31" max="31" width="21.28515625" style="64" customWidth="1"/>
    <col min="32" max="32" width="12.85546875" style="64" customWidth="1"/>
    <col min="33" max="33" width="17" style="64" bestFit="1" customWidth="1"/>
    <col min="34" max="34" width="13.42578125" style="64" bestFit="1" customWidth="1"/>
    <col min="35" max="35" width="16.7109375" style="64" customWidth="1"/>
    <col min="36" max="36" width="10.5703125" style="64" customWidth="1"/>
    <col min="37" max="37" width="6.140625" style="64" customWidth="1"/>
    <col min="38" max="38" width="19.42578125" style="64" bestFit="1" customWidth="1"/>
    <col min="39" max="16384" width="9.140625" style="64"/>
  </cols>
  <sheetData>
    <row r="1" spans="16:31" hidden="1"/>
    <row r="2" spans="16:31" hidden="1"/>
    <row r="3" spans="16:31">
      <c r="P3" s="101"/>
      <c r="Q3" s="101"/>
      <c r="R3" s="101"/>
      <c r="V3" s="144"/>
      <c r="W3" s="144"/>
      <c r="X3" s="147"/>
      <c r="Y3" s="147"/>
      <c r="Z3" s="147"/>
      <c r="AA3" s="147"/>
      <c r="AB3" s="144"/>
      <c r="AC3" s="144"/>
      <c r="AD3" s="144"/>
      <c r="AE3" s="144"/>
    </row>
    <row r="4" spans="16:31">
      <c r="P4" s="101"/>
      <c r="Q4" s="101"/>
      <c r="R4" s="101"/>
      <c r="V4" s="144"/>
      <c r="W4" s="144"/>
      <c r="X4" s="147"/>
      <c r="Y4" s="147"/>
      <c r="Z4" s="147"/>
      <c r="AA4" s="147"/>
      <c r="AB4" s="144"/>
      <c r="AC4" s="144"/>
      <c r="AD4" s="144"/>
      <c r="AE4" s="144"/>
    </row>
    <row r="5" spans="16:31">
      <c r="P5" s="101"/>
      <c r="Q5" s="101"/>
      <c r="R5" s="101"/>
      <c r="S5" s="101"/>
      <c r="T5" s="101"/>
      <c r="U5" s="101"/>
      <c r="V5" s="144"/>
      <c r="W5" s="144"/>
      <c r="X5" s="147"/>
      <c r="Y5" s="147"/>
      <c r="Z5" s="147"/>
      <c r="AA5" s="147"/>
      <c r="AB5" s="144"/>
      <c r="AC5" s="144"/>
      <c r="AD5" s="144"/>
      <c r="AE5" s="144"/>
    </row>
    <row r="6" spans="16:31">
      <c r="P6" s="101"/>
      <c r="Q6" s="101"/>
      <c r="R6" s="101"/>
      <c r="S6" s="101"/>
      <c r="T6" s="101"/>
      <c r="U6" s="101"/>
      <c r="V6" s="144"/>
      <c r="W6" s="144"/>
      <c r="X6" s="147"/>
      <c r="Y6" s="147"/>
      <c r="Z6" s="147"/>
      <c r="AA6" s="147"/>
      <c r="AB6" s="144"/>
      <c r="AC6" s="144"/>
      <c r="AD6" s="144"/>
      <c r="AE6" s="144"/>
    </row>
    <row r="7" spans="16:31">
      <c r="P7" s="101"/>
      <c r="Q7" s="101"/>
      <c r="R7" s="101"/>
      <c r="S7" s="101"/>
      <c r="T7" s="101"/>
      <c r="U7" s="101"/>
      <c r="V7" s="144"/>
      <c r="W7" s="144"/>
      <c r="X7" s="147"/>
      <c r="Y7" s="147"/>
      <c r="Z7" s="147"/>
      <c r="AA7" s="147"/>
      <c r="AB7" s="144"/>
      <c r="AC7" s="144"/>
      <c r="AD7" s="144"/>
      <c r="AE7" s="144"/>
    </row>
    <row r="8" spans="16:31">
      <c r="P8" s="101"/>
      <c r="Q8" s="101"/>
      <c r="R8" s="101"/>
      <c r="S8" s="101"/>
      <c r="T8" s="101"/>
      <c r="U8" s="101"/>
      <c r="V8" s="144"/>
      <c r="W8" s="144"/>
      <c r="X8" s="147"/>
      <c r="Y8" s="147"/>
      <c r="Z8" s="147"/>
      <c r="AA8" s="147"/>
      <c r="AB8" s="144"/>
      <c r="AC8" s="144"/>
      <c r="AD8" s="144"/>
      <c r="AE8" s="144"/>
    </row>
    <row r="9" spans="16:31">
      <c r="P9" s="101"/>
      <c r="Q9" s="101"/>
      <c r="R9" s="101"/>
      <c r="S9" s="101"/>
      <c r="T9" s="101"/>
      <c r="U9" s="101"/>
      <c r="V9" s="144"/>
      <c r="W9" s="144"/>
      <c r="X9" s="147"/>
      <c r="Y9" s="147"/>
      <c r="Z9" s="147"/>
      <c r="AA9" s="147"/>
      <c r="AB9" s="144"/>
      <c r="AC9" s="144"/>
      <c r="AD9" s="144"/>
      <c r="AE9" s="144"/>
    </row>
    <row r="10" spans="16:31">
      <c r="P10" s="101"/>
      <c r="Q10" s="101"/>
      <c r="R10" s="101"/>
      <c r="S10" s="101"/>
      <c r="T10" s="101"/>
      <c r="U10" s="101"/>
      <c r="V10" s="144"/>
      <c r="W10" s="144"/>
      <c r="X10" s="147"/>
      <c r="Y10" s="147"/>
      <c r="Z10" s="147"/>
      <c r="AA10" s="147"/>
      <c r="AB10" s="144"/>
      <c r="AC10" s="144"/>
      <c r="AD10" s="144"/>
      <c r="AE10" s="144"/>
    </row>
    <row r="11" spans="16:31">
      <c r="P11" s="101"/>
      <c r="Q11" s="101"/>
      <c r="R11" s="101"/>
      <c r="S11" s="101"/>
      <c r="T11" s="101"/>
      <c r="U11" s="101"/>
      <c r="V11" s="144"/>
      <c r="W11" s="144"/>
      <c r="X11" s="147"/>
      <c r="Y11" s="147"/>
      <c r="Z11" s="147"/>
      <c r="AA11" s="147"/>
      <c r="AB11" s="144"/>
      <c r="AC11" s="144"/>
      <c r="AD11" s="144"/>
      <c r="AE11" s="144"/>
    </row>
    <row r="12" spans="16:31">
      <c r="P12" s="101"/>
      <c r="Q12" s="101"/>
      <c r="R12" s="101"/>
      <c r="S12" s="101"/>
      <c r="T12" s="101"/>
      <c r="U12" s="101"/>
      <c r="V12" s="144"/>
      <c r="W12" s="144"/>
      <c r="X12" s="147"/>
      <c r="Y12" s="147"/>
      <c r="Z12" s="147"/>
      <c r="AA12" s="147"/>
      <c r="AB12" s="144"/>
      <c r="AC12" s="144"/>
      <c r="AD12" s="144"/>
      <c r="AE12" s="144"/>
    </row>
    <row r="13" spans="16:31">
      <c r="P13" s="101"/>
      <c r="Q13" s="101"/>
      <c r="R13" s="101"/>
      <c r="S13" s="101"/>
      <c r="T13" s="101"/>
      <c r="U13" s="101"/>
      <c r="V13" s="144"/>
      <c r="W13" s="144"/>
      <c r="X13" s="147"/>
      <c r="Y13" s="147"/>
      <c r="Z13" s="147"/>
      <c r="AA13" s="147"/>
      <c r="AB13" s="144"/>
      <c r="AC13" s="144"/>
      <c r="AD13" s="144"/>
      <c r="AE13" s="144"/>
    </row>
    <row r="14" spans="16:31">
      <c r="P14" s="101"/>
      <c r="Q14" s="101"/>
      <c r="R14" s="101"/>
      <c r="S14" s="101"/>
      <c r="T14" s="101"/>
      <c r="U14" s="101"/>
      <c r="V14" s="144"/>
      <c r="W14" s="144"/>
      <c r="X14" s="147"/>
      <c r="Y14" s="147"/>
      <c r="Z14" s="147"/>
      <c r="AA14" s="147"/>
      <c r="AB14" s="144"/>
      <c r="AC14" s="144"/>
      <c r="AD14" s="144"/>
      <c r="AE14" s="144"/>
    </row>
    <row r="15" spans="16:31">
      <c r="P15" s="101"/>
      <c r="Q15" s="101"/>
      <c r="R15" s="101"/>
      <c r="S15" s="101"/>
      <c r="T15" s="101"/>
      <c r="U15" s="101"/>
      <c r="V15" s="144"/>
      <c r="W15" s="144"/>
      <c r="X15" s="147"/>
      <c r="Y15" s="147"/>
      <c r="Z15" s="147"/>
      <c r="AA15" s="147"/>
      <c r="AB15" s="144"/>
      <c r="AC15" s="144"/>
      <c r="AD15" s="144"/>
      <c r="AE15" s="144"/>
    </row>
    <row r="16" spans="16:31">
      <c r="P16" s="101"/>
      <c r="Q16" s="101"/>
      <c r="R16" s="101"/>
      <c r="S16" s="101"/>
      <c r="T16" s="101"/>
      <c r="U16" s="101"/>
      <c r="V16" s="144"/>
      <c r="W16" s="144"/>
      <c r="X16" s="147"/>
      <c r="Y16" s="147"/>
      <c r="Z16" s="147"/>
      <c r="AA16" s="147"/>
      <c r="AB16" s="144"/>
      <c r="AC16" s="144"/>
      <c r="AD16" s="144"/>
      <c r="AE16" s="144"/>
    </row>
    <row r="17" spans="1:43">
      <c r="P17" s="101"/>
      <c r="Q17" s="101"/>
      <c r="R17" s="101"/>
      <c r="S17" s="101"/>
      <c r="T17" s="101"/>
      <c r="U17" s="101"/>
      <c r="V17" s="144"/>
      <c r="W17" s="144"/>
      <c r="X17" s="147"/>
      <c r="Y17" s="147"/>
      <c r="Z17" s="147"/>
      <c r="AA17" s="147"/>
      <c r="AB17" s="144"/>
      <c r="AC17" s="144"/>
      <c r="AD17" s="144"/>
      <c r="AE17" s="144"/>
    </row>
    <row r="18" spans="1:43" ht="23.25">
      <c r="J18" s="65"/>
      <c r="P18" s="101"/>
      <c r="Q18" s="101"/>
      <c r="R18" s="101"/>
      <c r="S18" s="101"/>
      <c r="T18" s="101"/>
      <c r="U18" s="101"/>
      <c r="V18" s="144"/>
      <c r="W18" s="144"/>
      <c r="X18" s="147"/>
      <c r="Y18" s="147"/>
      <c r="Z18" s="147"/>
      <c r="AA18" s="147"/>
      <c r="AB18" s="144"/>
      <c r="AC18" s="144"/>
      <c r="AD18" s="144"/>
      <c r="AE18" s="144"/>
    </row>
    <row r="19" spans="1:43" ht="15.75" thickBot="1">
      <c r="P19" s="101"/>
      <c r="Q19" s="101"/>
      <c r="R19" s="101"/>
      <c r="S19" s="101"/>
      <c r="T19" s="101"/>
      <c r="U19" s="101"/>
      <c r="V19" s="101"/>
      <c r="W19" s="101"/>
      <c r="X19" s="147"/>
      <c r="Y19" s="147"/>
      <c r="Z19" s="147"/>
      <c r="AA19" s="147"/>
      <c r="AB19" s="144"/>
      <c r="AC19" s="144"/>
      <c r="AD19" s="144"/>
      <c r="AE19" s="144"/>
    </row>
    <row r="20" spans="1:43" ht="15.75" thickBot="1">
      <c r="I20" s="212"/>
      <c r="J20" s="213"/>
      <c r="K20" s="213"/>
      <c r="L20" s="213"/>
      <c r="M20" s="213"/>
      <c r="N20" s="213"/>
      <c r="O20" s="214"/>
      <c r="P20" s="101"/>
      <c r="Q20" s="101"/>
      <c r="R20" s="101"/>
      <c r="S20" s="101"/>
      <c r="T20" s="101"/>
      <c r="U20" s="101"/>
      <c r="V20" s="101"/>
      <c r="W20" s="101"/>
      <c r="X20" s="147"/>
      <c r="Y20" s="147"/>
      <c r="Z20" s="147"/>
      <c r="AA20" s="147"/>
      <c r="AB20" s="144"/>
      <c r="AC20" s="144"/>
      <c r="AD20" s="144"/>
      <c r="AE20" s="144"/>
    </row>
    <row r="21" spans="1:43" ht="23.25">
      <c r="A21" s="437"/>
      <c r="B21" s="438"/>
      <c r="C21" s="400" t="s">
        <v>3</v>
      </c>
      <c r="D21" s="393"/>
      <c r="E21" s="393"/>
      <c r="F21" s="393"/>
      <c r="G21" s="393"/>
      <c r="H21" s="393"/>
      <c r="I21" s="400" t="s">
        <v>162</v>
      </c>
      <c r="J21" s="393"/>
      <c r="K21" s="393"/>
      <c r="L21" s="393"/>
      <c r="M21" s="393"/>
      <c r="N21" s="393"/>
      <c r="O21" s="394"/>
      <c r="P21" s="393" t="s">
        <v>199</v>
      </c>
      <c r="Q21" s="393"/>
      <c r="R21" s="393"/>
      <c r="S21" s="393"/>
      <c r="T21" s="451" t="str">
        <f>"for years "&amp;TEXT(From_Year,"00")&amp;" - "&amp;TEXT(To_Year,"00")&amp;""</f>
        <v>for years 2017 - 2046</v>
      </c>
      <c r="U21" s="451"/>
      <c r="V21" s="451"/>
      <c r="W21" s="237"/>
      <c r="X21" s="392" t="str">
        <f>"for "&amp;TEXT(O52,"00")&amp;" year loan (2019-"&amp;TEXT((2019+O52-1),"00")&amp;")"</f>
        <v>for 20 year loan (2019-2038)</v>
      </c>
      <c r="Y21" s="393"/>
      <c r="Z21" s="393"/>
      <c r="AA21" s="394"/>
      <c r="AB21" s="163"/>
      <c r="AC21" s="163"/>
      <c r="AD21" s="163"/>
      <c r="AE21" s="163"/>
      <c r="AF21" s="102"/>
    </row>
    <row r="22" spans="1:43" ht="18.75">
      <c r="A22" s="439"/>
      <c r="B22" s="440"/>
      <c r="C22" s="408" t="s">
        <v>6</v>
      </c>
      <c r="D22" s="409"/>
      <c r="E22" s="409"/>
      <c r="F22" s="409"/>
      <c r="G22" s="409"/>
      <c r="H22" s="409"/>
      <c r="I22" s="426" t="s">
        <v>7</v>
      </c>
      <c r="J22" s="427"/>
      <c r="K22" s="427"/>
      <c r="L22" s="427"/>
      <c r="M22" s="427"/>
      <c r="N22" s="427"/>
      <c r="O22" s="428"/>
      <c r="P22" s="452" t="s">
        <v>179</v>
      </c>
      <c r="Q22" s="452"/>
      <c r="R22" s="452"/>
      <c r="S22" s="453"/>
      <c r="T22" s="154"/>
      <c r="U22" s="154"/>
      <c r="V22" s="154"/>
      <c r="W22" s="158"/>
      <c r="X22" s="396"/>
      <c r="Y22" s="396"/>
      <c r="Z22" s="396"/>
      <c r="AA22" s="397"/>
      <c r="AB22" s="145"/>
      <c r="AC22" s="145"/>
      <c r="AD22" s="145"/>
      <c r="AE22" s="145"/>
      <c r="AI22" s="147"/>
      <c r="AJ22" s="147"/>
      <c r="AK22" s="147"/>
      <c r="AL22" s="147"/>
      <c r="AM22" s="147"/>
      <c r="AN22" s="147"/>
      <c r="AO22" s="147"/>
      <c r="AP22" s="147"/>
      <c r="AQ22" s="147"/>
    </row>
    <row r="23" spans="1:43" ht="24" customHeight="1">
      <c r="A23" s="311" t="s">
        <v>0</v>
      </c>
      <c r="B23" s="312"/>
      <c r="C23" s="401" t="s">
        <v>1</v>
      </c>
      <c r="D23" s="402"/>
      <c r="E23" s="412"/>
      <c r="F23" s="412"/>
      <c r="G23" s="403" t="s">
        <v>2</v>
      </c>
      <c r="H23" s="402"/>
      <c r="I23" s="413" t="s">
        <v>68</v>
      </c>
      <c r="J23" s="414"/>
      <c r="K23" s="415"/>
      <c r="L23" s="415"/>
      <c r="M23" s="415"/>
      <c r="N23" s="415"/>
      <c r="O23" s="416"/>
      <c r="P23" s="155" t="s">
        <v>176</v>
      </c>
      <c r="Q23" s="151"/>
      <c r="R23" s="151"/>
      <c r="S23" s="151"/>
      <c r="T23" s="373">
        <f ca="1">AVERAGE([0]!rngBN)</f>
        <v>155514.16174918448</v>
      </c>
      <c r="U23" s="373"/>
      <c r="V23" s="373"/>
      <c r="W23" s="159"/>
      <c r="X23" s="373">
        <f ca="1">AVERAGE([0]!rngBN20)</f>
        <v>155514.16174918448</v>
      </c>
      <c r="Y23" s="373"/>
      <c r="Z23" s="373"/>
      <c r="AA23" s="395"/>
      <c r="AB23" s="160"/>
      <c r="AC23" s="160"/>
      <c r="AD23" s="160"/>
      <c r="AE23" s="144"/>
    </row>
    <row r="24" spans="1:43" ht="24" customHeight="1">
      <c r="A24" s="313"/>
      <c r="B24" s="314"/>
      <c r="C24" s="404" t="s">
        <v>4</v>
      </c>
      <c r="D24" s="405"/>
      <c r="E24" s="410" t="s">
        <v>5</v>
      </c>
      <c r="F24" s="410"/>
      <c r="G24" s="405" t="s">
        <v>189</v>
      </c>
      <c r="H24" s="405"/>
      <c r="I24" s="431" t="s">
        <v>69</v>
      </c>
      <c r="J24" s="432"/>
      <c r="K24" s="433"/>
      <c r="L24" s="433"/>
      <c r="M24" s="433"/>
      <c r="N24" s="433"/>
      <c r="O24" s="434"/>
      <c r="P24" s="152" t="s">
        <v>207</v>
      </c>
      <c r="Q24" s="152"/>
      <c r="R24" s="152"/>
      <c r="S24" s="152"/>
      <c r="T24" s="373">
        <f ca="1">AVERAGE([0]!rngBN)/O25</f>
        <v>207.35221566557931</v>
      </c>
      <c r="U24" s="373"/>
      <c r="V24" s="373"/>
      <c r="W24" s="159"/>
      <c r="X24" s="373">
        <f ca="1">AVERAGE([0]!rngBN20)/O25</f>
        <v>207.35221566557931</v>
      </c>
      <c r="Y24" s="373"/>
      <c r="Z24" s="373"/>
      <c r="AA24" s="395"/>
      <c r="AB24" s="160"/>
      <c r="AC24" s="160"/>
      <c r="AD24" s="160"/>
      <c r="AE24" s="144"/>
    </row>
    <row r="25" spans="1:43" ht="24" customHeight="1">
      <c r="A25" s="313"/>
      <c r="B25" s="314"/>
      <c r="C25" s="406"/>
      <c r="D25" s="407"/>
      <c r="E25" s="411"/>
      <c r="F25" s="411"/>
      <c r="G25" s="407"/>
      <c r="H25" s="407"/>
      <c r="I25" s="444" t="s">
        <v>208</v>
      </c>
      <c r="J25" s="445"/>
      <c r="K25" s="445"/>
      <c r="L25" s="445"/>
      <c r="M25" s="445"/>
      <c r="N25" s="446"/>
      <c r="O25" s="215">
        <v>750</v>
      </c>
      <c r="P25" s="454" t="s">
        <v>177</v>
      </c>
      <c r="Q25" s="454"/>
      <c r="R25" s="454"/>
      <c r="S25" s="455"/>
      <c r="T25" s="373">
        <f ca="1">AVERAGE([0]!rngBR)</f>
        <v>141434.80475496547</v>
      </c>
      <c r="U25" s="373"/>
      <c r="V25" s="373"/>
      <c r="W25" s="159"/>
      <c r="X25" s="373">
        <f ca="1">AVERAGE([0]!rngBR20)</f>
        <v>141153.21761508106</v>
      </c>
      <c r="Y25" s="373"/>
      <c r="Z25" s="373"/>
      <c r="AA25" s="395"/>
      <c r="AB25" s="160"/>
      <c r="AC25" s="160"/>
      <c r="AD25" s="160"/>
      <c r="AE25" s="144"/>
    </row>
    <row r="26" spans="1:43" ht="24" customHeight="1">
      <c r="A26" s="313"/>
      <c r="B26" s="314"/>
      <c r="C26" s="406"/>
      <c r="D26" s="407"/>
      <c r="E26" s="411"/>
      <c r="F26" s="411"/>
      <c r="G26" s="407"/>
      <c r="H26" s="407"/>
      <c r="I26" s="423" t="s">
        <v>213</v>
      </c>
      <c r="J26" s="435"/>
      <c r="K26" s="435"/>
      <c r="L26" s="435"/>
      <c r="M26" s="435"/>
      <c r="N26" s="436"/>
      <c r="O26" s="215">
        <v>15</v>
      </c>
      <c r="P26" s="152" t="s">
        <v>198</v>
      </c>
      <c r="Q26" s="152"/>
      <c r="R26" s="152"/>
      <c r="S26" s="152"/>
      <c r="T26" s="373">
        <f ca="1">AVERAGE([0]!rngBR)/O25</f>
        <v>188.57973967328729</v>
      </c>
      <c r="U26" s="373"/>
      <c r="V26" s="373"/>
      <c r="W26" s="159"/>
      <c r="X26" s="373">
        <f ca="1">AVERAGE([0]!rngBR20)/O25</f>
        <v>188.20429015344141</v>
      </c>
      <c r="Y26" s="373"/>
      <c r="Z26" s="373"/>
      <c r="AA26" s="395"/>
      <c r="AB26" s="160"/>
      <c r="AC26" s="160"/>
      <c r="AD26" s="160"/>
      <c r="AE26" s="144"/>
    </row>
    <row r="27" spans="1:43" ht="24" customHeight="1">
      <c r="A27" s="313"/>
      <c r="B27" s="314"/>
      <c r="C27" s="406"/>
      <c r="D27" s="407"/>
      <c r="E27" s="411"/>
      <c r="F27" s="411"/>
      <c r="G27" s="407"/>
      <c r="H27" s="407"/>
      <c r="I27" s="423" t="s">
        <v>214</v>
      </c>
      <c r="J27" s="424"/>
      <c r="K27" s="424"/>
      <c r="L27" s="424"/>
      <c r="M27" s="424"/>
      <c r="N27" s="425"/>
      <c r="O27" s="215">
        <v>3</v>
      </c>
      <c r="P27" s="155" t="s">
        <v>178</v>
      </c>
      <c r="Q27" s="155"/>
      <c r="R27" s="155"/>
      <c r="S27" s="155"/>
      <c r="T27" s="373">
        <f ca="1">T23-T25</f>
        <v>14079.356994219008</v>
      </c>
      <c r="U27" s="373"/>
      <c r="V27" s="373"/>
      <c r="W27" s="159"/>
      <c r="X27" s="373">
        <f ca="1">X23-X25</f>
        <v>14360.944134103425</v>
      </c>
      <c r="Y27" s="373"/>
      <c r="Z27" s="373"/>
      <c r="AA27" s="395"/>
      <c r="AB27" s="160"/>
      <c r="AC27" s="160"/>
      <c r="AD27" s="160"/>
      <c r="AE27" s="144"/>
    </row>
    <row r="28" spans="1:43" ht="24" customHeight="1">
      <c r="A28" s="313"/>
      <c r="B28" s="314"/>
      <c r="C28" s="406"/>
      <c r="D28" s="407"/>
      <c r="E28" s="411"/>
      <c r="F28" s="411"/>
      <c r="G28" s="407"/>
      <c r="H28" s="407"/>
      <c r="I28" s="423" t="s">
        <v>206</v>
      </c>
      <c r="J28" s="447"/>
      <c r="K28" s="447"/>
      <c r="L28" s="447"/>
      <c r="M28" s="447"/>
      <c r="N28" s="448"/>
      <c r="O28" s="216">
        <f>O27/O26</f>
        <v>0.2</v>
      </c>
      <c r="P28" s="152" t="s">
        <v>198</v>
      </c>
      <c r="Q28" s="152"/>
      <c r="R28" s="152"/>
      <c r="S28" s="152"/>
      <c r="T28" s="373">
        <f ca="1">T24-T26</f>
        <v>18.772475992292016</v>
      </c>
      <c r="U28" s="373"/>
      <c r="V28" s="373"/>
      <c r="W28" s="186"/>
      <c r="X28" s="373">
        <f ca="1">X24-X26</f>
        <v>19.147925512137903</v>
      </c>
      <c r="Y28" s="373"/>
      <c r="Z28" s="373"/>
      <c r="AA28" s="395"/>
      <c r="AB28" s="160"/>
      <c r="AC28" s="160"/>
      <c r="AD28" s="160"/>
      <c r="AE28" s="144"/>
    </row>
    <row r="29" spans="1:43" ht="24" customHeight="1">
      <c r="A29" s="313"/>
      <c r="B29" s="314"/>
      <c r="C29" s="406"/>
      <c r="D29" s="407"/>
      <c r="E29" s="411"/>
      <c r="F29" s="411"/>
      <c r="G29" s="407"/>
      <c r="H29" s="407"/>
      <c r="I29" s="417" t="s">
        <v>209</v>
      </c>
      <c r="J29" s="418"/>
      <c r="K29" s="418"/>
      <c r="L29" s="418"/>
      <c r="M29" s="418"/>
      <c r="N29" s="419"/>
      <c r="O29" s="217">
        <v>0</v>
      </c>
      <c r="P29" s="456" t="s">
        <v>180</v>
      </c>
      <c r="Q29" s="456"/>
      <c r="R29" s="456"/>
      <c r="S29" s="456"/>
      <c r="T29" s="154"/>
      <c r="U29" s="154"/>
      <c r="V29" s="154"/>
      <c r="W29" s="185"/>
      <c r="X29" s="398"/>
      <c r="Y29" s="398"/>
      <c r="Z29" s="398"/>
      <c r="AA29" s="399"/>
      <c r="AB29" s="145"/>
      <c r="AC29" s="145"/>
      <c r="AD29" s="145"/>
      <c r="AE29" s="145"/>
    </row>
    <row r="30" spans="1:43" ht="24" customHeight="1">
      <c r="A30" s="313"/>
      <c r="B30" s="314"/>
      <c r="C30" s="406"/>
      <c r="D30" s="407"/>
      <c r="E30" s="411"/>
      <c r="F30" s="411"/>
      <c r="G30" s="407"/>
      <c r="H30" s="407"/>
      <c r="I30" s="420" t="s">
        <v>224</v>
      </c>
      <c r="J30" s="421"/>
      <c r="K30" s="421"/>
      <c r="L30" s="421"/>
      <c r="M30" s="421"/>
      <c r="N30" s="422"/>
      <c r="O30" s="218" t="s">
        <v>76</v>
      </c>
      <c r="P30" s="155" t="s">
        <v>181</v>
      </c>
      <c r="Q30" s="155"/>
      <c r="R30" s="155"/>
      <c r="S30" s="156"/>
      <c r="T30" s="277">
        <f ca="1">AVERAGE([0]!rngNorm)</f>
        <v>206994.07930631473</v>
      </c>
      <c r="U30" s="277"/>
      <c r="V30" s="277"/>
      <c r="W30" s="186"/>
      <c r="X30" s="277">
        <f ca="1">AVERAGE([0]!rngNorm20)</f>
        <v>206994.07930631473</v>
      </c>
      <c r="Y30" s="277"/>
      <c r="Z30" s="277"/>
      <c r="AA30" s="278"/>
      <c r="AB30" s="160"/>
      <c r="AC30" s="160"/>
      <c r="AD30" s="160"/>
      <c r="AE30" s="144"/>
    </row>
    <row r="31" spans="1:43" ht="24" customHeight="1">
      <c r="A31" s="313"/>
      <c r="B31" s="314"/>
      <c r="C31" s="406"/>
      <c r="D31" s="407"/>
      <c r="E31" s="411"/>
      <c r="F31" s="411"/>
      <c r="G31" s="407"/>
      <c r="H31" s="407"/>
      <c r="I31" s="429" t="s">
        <v>165</v>
      </c>
      <c r="J31" s="430"/>
      <c r="K31" s="430"/>
      <c r="L31" s="89"/>
      <c r="M31" s="89"/>
      <c r="N31" s="89"/>
      <c r="O31" s="219"/>
      <c r="P31" s="152" t="s">
        <v>200</v>
      </c>
      <c r="Q31" s="152"/>
      <c r="R31" s="152"/>
      <c r="S31" s="153"/>
      <c r="T31" s="277">
        <f ca="1">T30/O25</f>
        <v>275.99210574175299</v>
      </c>
      <c r="U31" s="277"/>
      <c r="V31" s="277"/>
      <c r="W31" s="161"/>
      <c r="X31" s="277">
        <f ca="1">X30/O25</f>
        <v>275.99210574175299</v>
      </c>
      <c r="Y31" s="277"/>
      <c r="Z31" s="277"/>
      <c r="AA31" s="278"/>
      <c r="AB31" s="160"/>
      <c r="AC31" s="160"/>
      <c r="AD31" s="160"/>
      <c r="AE31" s="144"/>
    </row>
    <row r="32" spans="1:43" ht="24" customHeight="1">
      <c r="A32" s="313"/>
      <c r="B32" s="314"/>
      <c r="C32" s="406"/>
      <c r="D32" s="407"/>
      <c r="E32" s="411"/>
      <c r="F32" s="411"/>
      <c r="G32" s="407"/>
      <c r="H32" s="407"/>
      <c r="I32" s="429" t="s">
        <v>166</v>
      </c>
      <c r="J32" s="430"/>
      <c r="K32" s="430"/>
      <c r="L32" s="89"/>
      <c r="M32" s="89"/>
      <c r="N32" s="89"/>
      <c r="O32" s="219"/>
      <c r="P32" s="155" t="s">
        <v>182</v>
      </c>
      <c r="Q32" s="155"/>
      <c r="R32" s="155"/>
      <c r="S32" s="156"/>
      <c r="T32" s="277">
        <f ca="1">AVERAGE([0]!rngRed)</f>
        <v>183809.39535649779</v>
      </c>
      <c r="U32" s="277"/>
      <c r="V32" s="277"/>
      <c r="W32" s="161"/>
      <c r="X32" s="277">
        <f ca="1">AVERAGE([0]!rngRed20)</f>
        <v>183345.70167750149</v>
      </c>
      <c r="Y32" s="277"/>
      <c r="Z32" s="277"/>
      <c r="AA32" s="278"/>
      <c r="AB32" s="160"/>
      <c r="AC32" s="160"/>
      <c r="AD32" s="160"/>
      <c r="AE32" s="144"/>
    </row>
    <row r="33" spans="1:31" ht="24" customHeight="1">
      <c r="A33" s="313"/>
      <c r="B33" s="314"/>
      <c r="C33" s="406"/>
      <c r="D33" s="407"/>
      <c r="E33" s="411"/>
      <c r="F33" s="411"/>
      <c r="G33" s="407"/>
      <c r="H33" s="407"/>
      <c r="I33" s="429" t="s">
        <v>167</v>
      </c>
      <c r="J33" s="430"/>
      <c r="K33" s="430"/>
      <c r="L33" s="89"/>
      <c r="M33" s="89"/>
      <c r="N33" s="89"/>
      <c r="O33" s="219"/>
      <c r="P33" s="152" t="s">
        <v>201</v>
      </c>
      <c r="Q33" s="152"/>
      <c r="R33" s="152"/>
      <c r="S33" s="153"/>
      <c r="T33" s="277">
        <f ca="1">T32/O25</f>
        <v>245.07919380866372</v>
      </c>
      <c r="U33" s="277"/>
      <c r="V33" s="277"/>
      <c r="W33" s="161"/>
      <c r="X33" s="277">
        <f ca="1">X32/O25</f>
        <v>244.46093557000199</v>
      </c>
      <c r="Y33" s="277"/>
      <c r="Z33" s="277"/>
      <c r="AA33" s="278"/>
      <c r="AB33" s="160"/>
      <c r="AC33" s="160"/>
      <c r="AD33" s="160"/>
      <c r="AE33" s="144"/>
    </row>
    <row r="34" spans="1:31" ht="24" customHeight="1">
      <c r="A34" s="313"/>
      <c r="B34" s="314"/>
      <c r="C34" s="406"/>
      <c r="D34" s="407"/>
      <c r="E34" s="411"/>
      <c r="F34" s="411"/>
      <c r="G34" s="407"/>
      <c r="H34" s="407"/>
      <c r="I34" s="346" t="s">
        <v>190</v>
      </c>
      <c r="J34" s="347"/>
      <c r="K34" s="347"/>
      <c r="L34" s="347"/>
      <c r="M34" s="347"/>
      <c r="N34" s="347"/>
      <c r="O34" s="348"/>
      <c r="P34" s="157" t="s">
        <v>227</v>
      </c>
      <c r="Q34" s="157"/>
      <c r="R34" s="157"/>
      <c r="S34" s="157"/>
      <c r="T34" s="277">
        <f ca="1">-(T30-T32)</f>
        <v>-23184.683949816943</v>
      </c>
      <c r="U34" s="277"/>
      <c r="V34" s="277"/>
      <c r="W34" s="161"/>
      <c r="X34" s="277">
        <f ca="1">-(X30-X32)</f>
        <v>-23648.377628813236</v>
      </c>
      <c r="Y34" s="277"/>
      <c r="Z34" s="277"/>
      <c r="AA34" s="278"/>
      <c r="AB34" s="160"/>
      <c r="AC34" s="160"/>
      <c r="AD34" s="160"/>
      <c r="AE34" s="144"/>
    </row>
    <row r="35" spans="1:31" ht="24" customHeight="1">
      <c r="A35" s="313"/>
      <c r="B35" s="314"/>
      <c r="C35" s="200"/>
      <c r="D35" s="197"/>
      <c r="E35" s="198"/>
      <c r="F35" s="198"/>
      <c r="G35" s="197"/>
      <c r="H35" s="197"/>
      <c r="I35" s="343" t="s">
        <v>83</v>
      </c>
      <c r="J35" s="344"/>
      <c r="K35" s="344"/>
      <c r="L35" s="344"/>
      <c r="M35" s="344"/>
      <c r="N35" s="344"/>
      <c r="O35" s="345"/>
      <c r="P35" s="152" t="s">
        <v>228</v>
      </c>
      <c r="Q35" s="152"/>
      <c r="R35" s="152"/>
      <c r="S35" s="152"/>
      <c r="T35" s="277">
        <f ca="1">T34/(To_Year-From_Year+1)</f>
        <v>-772.82279832723145</v>
      </c>
      <c r="U35" s="277"/>
      <c r="V35" s="277"/>
      <c r="W35" s="162"/>
      <c r="X35" s="277">
        <f ca="1">X34/(O52)</f>
        <v>-1182.4188814406618</v>
      </c>
      <c r="Y35" s="277"/>
      <c r="Z35" s="277"/>
      <c r="AA35" s="278"/>
      <c r="AB35" s="160"/>
      <c r="AC35" s="160"/>
      <c r="AD35" s="160"/>
      <c r="AE35" s="144"/>
    </row>
    <row r="36" spans="1:31" ht="24" customHeight="1">
      <c r="A36" s="313"/>
      <c r="B36" s="314"/>
      <c r="C36" s="341" t="s">
        <v>192</v>
      </c>
      <c r="D36" s="342"/>
      <c r="E36" s="189"/>
      <c r="F36" s="187" t="s">
        <v>193</v>
      </c>
      <c r="G36" s="188"/>
      <c r="H36" s="188"/>
      <c r="I36" s="255" t="s">
        <v>124</v>
      </c>
      <c r="J36" s="254"/>
      <c r="K36" s="254"/>
      <c r="L36" s="254"/>
      <c r="M36" s="254"/>
      <c r="N36" s="254"/>
      <c r="O36" s="256"/>
      <c r="P36" s="80"/>
      <c r="Q36" s="187"/>
      <c r="R36" s="187"/>
      <c r="S36" s="187"/>
      <c r="T36" s="187"/>
      <c r="U36" s="187"/>
      <c r="V36" s="271" t="s">
        <v>229</v>
      </c>
      <c r="W36" s="171"/>
      <c r="X36" s="190"/>
      <c r="Y36" s="190"/>
      <c r="Z36" s="190"/>
      <c r="AA36" s="238"/>
      <c r="AB36" s="165"/>
      <c r="AC36" s="165"/>
      <c r="AD36" s="165"/>
      <c r="AE36" s="166"/>
    </row>
    <row r="37" spans="1:31" ht="24" customHeight="1">
      <c r="A37" s="313"/>
      <c r="B37" s="314"/>
      <c r="C37" s="201"/>
      <c r="D37" s="188"/>
      <c r="E37" s="189"/>
      <c r="F37" s="187" t="s">
        <v>196</v>
      </c>
      <c r="G37" s="188"/>
      <c r="H37" s="188"/>
      <c r="I37" s="449" t="s">
        <v>191</v>
      </c>
      <c r="J37" s="447"/>
      <c r="K37" s="447"/>
      <c r="L37" s="447"/>
      <c r="M37" s="447"/>
      <c r="N37" s="447"/>
      <c r="O37" s="450"/>
      <c r="P37" s="148"/>
      <c r="Q37" s="187"/>
      <c r="R37" s="187"/>
      <c r="S37" s="187"/>
      <c r="T37" s="187"/>
      <c r="U37" s="187"/>
      <c r="V37" s="93"/>
      <c r="W37" s="164"/>
      <c r="X37" s="187"/>
      <c r="Y37" s="187"/>
      <c r="Z37" s="187"/>
      <c r="AA37" s="220"/>
      <c r="AB37" s="165"/>
      <c r="AC37" s="165"/>
      <c r="AD37" s="165"/>
      <c r="AE37" s="166"/>
    </row>
    <row r="38" spans="1:31" ht="24" customHeight="1">
      <c r="A38" s="313"/>
      <c r="B38" s="314"/>
      <c r="C38" s="201"/>
      <c r="D38" s="188"/>
      <c r="E38" s="189"/>
      <c r="F38" s="187" t="s">
        <v>194</v>
      </c>
      <c r="G38" s="188"/>
      <c r="H38" s="188"/>
      <c r="I38" s="442" t="s">
        <v>159</v>
      </c>
      <c r="J38" s="443"/>
      <c r="K38" s="443"/>
      <c r="L38" s="443"/>
      <c r="M38" s="443"/>
      <c r="N38" s="443"/>
      <c r="O38" s="218">
        <v>5</v>
      </c>
      <c r="P38" s="254"/>
      <c r="Q38" s="187"/>
      <c r="R38" s="187"/>
      <c r="S38" s="187"/>
      <c r="T38" s="187"/>
      <c r="U38" s="187"/>
      <c r="V38" s="93"/>
      <c r="W38" s="164"/>
      <c r="X38" s="187"/>
      <c r="Y38" s="187"/>
      <c r="Z38" s="187"/>
      <c r="AA38" s="220"/>
      <c r="AB38" s="165"/>
      <c r="AC38" s="165"/>
      <c r="AD38" s="165"/>
      <c r="AE38" s="166"/>
    </row>
    <row r="39" spans="1:31" ht="24" customHeight="1">
      <c r="A39" s="313"/>
      <c r="B39" s="314"/>
      <c r="C39" s="201"/>
      <c r="D39" s="188"/>
      <c r="E39" s="189"/>
      <c r="F39" s="187" t="s">
        <v>195</v>
      </c>
      <c r="G39" s="188"/>
      <c r="H39" s="188"/>
      <c r="I39" s="221"/>
      <c r="J39" s="148"/>
      <c r="K39" s="148"/>
      <c r="L39" s="254"/>
      <c r="M39" s="254"/>
      <c r="N39" s="254"/>
      <c r="O39" s="256"/>
      <c r="P39" s="254"/>
      <c r="Q39" s="187"/>
      <c r="R39" s="187"/>
      <c r="S39" s="187"/>
      <c r="T39" s="187"/>
      <c r="U39" s="187"/>
      <c r="V39" s="93"/>
      <c r="W39" s="164"/>
      <c r="X39" s="187"/>
      <c r="Y39" s="187"/>
      <c r="Z39" s="187"/>
      <c r="AA39" s="220"/>
      <c r="AB39" s="165"/>
      <c r="AC39" s="165"/>
      <c r="AD39" s="165"/>
      <c r="AE39" s="166"/>
    </row>
    <row r="40" spans="1:31" ht="24" customHeight="1">
      <c r="A40" s="313"/>
      <c r="B40" s="314"/>
      <c r="C40" s="201"/>
      <c r="D40" s="188"/>
      <c r="E40" s="189"/>
      <c r="F40" s="189"/>
      <c r="G40" s="188"/>
      <c r="H40" s="188"/>
      <c r="I40" s="222" t="s">
        <v>132</v>
      </c>
      <c r="J40" s="80"/>
      <c r="K40" s="80" t="s">
        <v>133</v>
      </c>
      <c r="L40" s="254"/>
      <c r="M40" s="254"/>
      <c r="N40" s="254"/>
      <c r="O40" s="256"/>
      <c r="P40" s="254"/>
      <c r="Q40" s="187"/>
      <c r="R40" s="187"/>
      <c r="S40" s="187"/>
      <c r="T40" s="187"/>
      <c r="U40" s="187"/>
      <c r="V40" s="93"/>
      <c r="W40" s="164"/>
      <c r="X40" s="187"/>
      <c r="Y40" s="187"/>
      <c r="Z40" s="187"/>
      <c r="AA40" s="220"/>
      <c r="AB40" s="165"/>
      <c r="AC40" s="165"/>
      <c r="AD40" s="165"/>
      <c r="AE40" s="166"/>
    </row>
    <row r="41" spans="1:31" ht="24" customHeight="1">
      <c r="A41" s="313"/>
      <c r="B41" s="314"/>
      <c r="C41" s="201"/>
      <c r="D41" s="188"/>
      <c r="E41" s="189"/>
      <c r="F41" s="189"/>
      <c r="G41" s="188"/>
      <c r="H41" s="188"/>
      <c r="I41" s="339">
        <v>2017</v>
      </c>
      <c r="J41" s="340"/>
      <c r="K41" s="140">
        <v>2046</v>
      </c>
      <c r="L41" s="254"/>
      <c r="M41" s="254"/>
      <c r="N41" s="254"/>
      <c r="O41" s="256"/>
      <c r="P41" s="254"/>
      <c r="Q41" s="187"/>
      <c r="R41" s="187"/>
      <c r="S41" s="187"/>
      <c r="T41" s="187"/>
      <c r="U41" s="187"/>
      <c r="V41" s="93"/>
      <c r="W41" s="164"/>
      <c r="X41" s="187"/>
      <c r="Y41" s="187"/>
      <c r="Z41" s="187"/>
      <c r="AA41" s="220"/>
      <c r="AB41" s="165"/>
      <c r="AC41" s="165"/>
      <c r="AD41" s="165"/>
      <c r="AE41" s="166"/>
    </row>
    <row r="42" spans="1:31" ht="24" customHeight="1">
      <c r="A42" s="313"/>
      <c r="B42" s="314"/>
      <c r="C42" s="201"/>
      <c r="D42" s="188"/>
      <c r="E42" s="189"/>
      <c r="F42" s="189"/>
      <c r="G42" s="188"/>
      <c r="H42" s="188"/>
      <c r="I42" s="223"/>
      <c r="J42" s="110"/>
      <c r="K42" s="110"/>
      <c r="L42" s="254"/>
      <c r="M42" s="254"/>
      <c r="N42" s="254"/>
      <c r="O42" s="224"/>
      <c r="P42" s="254"/>
      <c r="Q42" s="187"/>
      <c r="R42" s="187"/>
      <c r="S42" s="187"/>
      <c r="T42" s="187"/>
      <c r="U42" s="187"/>
      <c r="V42" s="93"/>
      <c r="W42" s="172"/>
      <c r="X42" s="191"/>
      <c r="Y42" s="191"/>
      <c r="Z42" s="191"/>
      <c r="AA42" s="224"/>
      <c r="AB42" s="165"/>
      <c r="AC42" s="165"/>
      <c r="AD42" s="165"/>
      <c r="AE42" s="166"/>
    </row>
    <row r="43" spans="1:31" ht="24" customHeight="1">
      <c r="A43" s="323" t="s">
        <v>30</v>
      </c>
      <c r="B43" s="324"/>
      <c r="C43" s="336" t="s">
        <v>56</v>
      </c>
      <c r="D43" s="337"/>
      <c r="E43" s="338"/>
      <c r="F43" s="338"/>
      <c r="G43" s="352" t="s">
        <v>57</v>
      </c>
      <c r="H43" s="337"/>
      <c r="I43" s="349" t="s">
        <v>160</v>
      </c>
      <c r="J43" s="350"/>
      <c r="K43" s="350"/>
      <c r="L43" s="350"/>
      <c r="M43" s="350"/>
      <c r="N43" s="351"/>
      <c r="O43" s="225">
        <v>2</v>
      </c>
      <c r="P43" s="261" t="s">
        <v>138</v>
      </c>
      <c r="Q43" s="192"/>
      <c r="R43" s="192"/>
      <c r="S43" s="192"/>
      <c r="T43" s="387">
        <f ca="1">SUM([0]!rngENGYsls)</f>
        <v>16997904</v>
      </c>
      <c r="U43" s="387"/>
      <c r="V43" s="387"/>
      <c r="W43" s="167"/>
      <c r="X43" s="279">
        <f ca="1">SUM([0]!rngENGYsls20)</f>
        <v>12141360</v>
      </c>
      <c r="Y43" s="280">
        <f ca="1">SUM([0]!rngENGYsls)</f>
        <v>16997904</v>
      </c>
      <c r="Z43" s="280">
        <f ca="1">SUM([0]!rngENGYsls)</f>
        <v>16997904</v>
      </c>
      <c r="AA43" s="281">
        <f ca="1">SUM([0]!rngENGYsls)</f>
        <v>16997904</v>
      </c>
      <c r="AB43" s="160"/>
      <c r="AC43" s="160"/>
      <c r="AD43" s="160"/>
      <c r="AE43" s="144"/>
    </row>
    <row r="44" spans="1:31" ht="24" customHeight="1">
      <c r="A44" s="325"/>
      <c r="B44" s="326"/>
      <c r="C44" s="335" t="s">
        <v>58</v>
      </c>
      <c r="D44" s="333"/>
      <c r="E44" s="333" t="s">
        <v>59</v>
      </c>
      <c r="F44" s="333"/>
      <c r="G44" s="333" t="s">
        <v>60</v>
      </c>
      <c r="H44" s="333"/>
      <c r="I44" s="329" t="s">
        <v>187</v>
      </c>
      <c r="J44" s="330"/>
      <c r="K44" s="330"/>
      <c r="L44" s="330"/>
      <c r="M44" s="330"/>
      <c r="N44" s="334"/>
      <c r="O44" s="226">
        <v>3000000</v>
      </c>
      <c r="P44" s="261" t="s">
        <v>136</v>
      </c>
      <c r="Q44" s="192"/>
      <c r="R44" s="192"/>
      <c r="S44" s="192"/>
      <c r="T44" s="387">
        <f ca="1">SUM([0]!rngOM)</f>
        <v>5072000</v>
      </c>
      <c r="U44" s="387"/>
      <c r="V44" s="387"/>
      <c r="W44" s="167"/>
      <c r="X44" s="279">
        <f ca="1">SUM([0]!rngOM20)</f>
        <v>2480000</v>
      </c>
      <c r="Y44" s="280">
        <f ca="1">SUM([0]!rngOM)</f>
        <v>5072000</v>
      </c>
      <c r="Z44" s="280">
        <f ca="1">SUM([0]!rngOM)</f>
        <v>5072000</v>
      </c>
      <c r="AA44" s="281">
        <f ca="1">SUM([0]!rngOM)</f>
        <v>5072000</v>
      </c>
      <c r="AB44" s="160"/>
      <c r="AC44" s="160"/>
      <c r="AD44" s="160"/>
      <c r="AE44" s="160"/>
    </row>
    <row r="45" spans="1:31" ht="24" customHeight="1">
      <c r="A45" s="325"/>
      <c r="B45" s="326"/>
      <c r="C45" s="202"/>
      <c r="D45" s="195"/>
      <c r="E45" s="195"/>
      <c r="F45" s="195"/>
      <c r="G45" s="195"/>
      <c r="H45" s="195"/>
      <c r="I45" s="257" t="s">
        <v>171</v>
      </c>
      <c r="J45" s="258"/>
      <c r="K45" s="258"/>
      <c r="L45" s="258"/>
      <c r="M45" s="258"/>
      <c r="N45" s="259"/>
      <c r="O45" s="227">
        <v>31000</v>
      </c>
      <c r="P45" s="260" t="s">
        <v>134</v>
      </c>
      <c r="Q45" s="194"/>
      <c r="R45" s="194"/>
      <c r="S45" s="194"/>
      <c r="T45" s="277">
        <f>Calcs!O57</f>
        <v>6800000</v>
      </c>
      <c r="U45" s="277"/>
      <c r="V45" s="277"/>
      <c r="W45" s="167"/>
      <c r="X45" s="279">
        <f>Calcs!O57</f>
        <v>6800000</v>
      </c>
      <c r="Y45" s="280"/>
      <c r="Z45" s="280"/>
      <c r="AA45" s="281"/>
      <c r="AB45" s="160"/>
      <c r="AC45" s="160"/>
      <c r="AD45" s="160"/>
      <c r="AE45" s="160"/>
    </row>
    <row r="46" spans="1:31" ht="24" customHeight="1">
      <c r="A46" s="325"/>
      <c r="B46" s="326"/>
      <c r="C46" s="329" t="s">
        <v>173</v>
      </c>
      <c r="D46" s="330"/>
      <c r="E46" s="330"/>
      <c r="F46" s="330"/>
      <c r="G46" s="330"/>
      <c r="H46" s="330"/>
      <c r="I46" s="329" t="s">
        <v>185</v>
      </c>
      <c r="J46" s="330"/>
      <c r="K46" s="330"/>
      <c r="L46" s="330"/>
      <c r="M46" s="330"/>
      <c r="N46" s="334"/>
      <c r="O46" s="227">
        <v>100000</v>
      </c>
      <c r="P46" s="260" t="str">
        <f xml:space="preserve"> "                        Total loan cost (" &amp;TEXT(O52,"00") &amp;" year loan)"</f>
        <v xml:space="preserve">                        Total loan cost (20 year loan)</v>
      </c>
      <c r="Q46" s="194"/>
      <c r="R46" s="194"/>
      <c r="S46" s="194"/>
      <c r="T46" s="277">
        <f ca="1">SUM([0]!rngLoan)</f>
        <v>9051032.7969759647</v>
      </c>
      <c r="U46" s="277"/>
      <c r="V46" s="277"/>
      <c r="W46" s="169"/>
      <c r="X46" s="279">
        <f ca="1">SUM([0]!rngLoan20)</f>
        <v>9051032.7969759647</v>
      </c>
      <c r="Y46" s="280"/>
      <c r="Z46" s="280"/>
      <c r="AA46" s="281"/>
      <c r="AB46" s="160"/>
      <c r="AC46" s="160"/>
      <c r="AD46" s="160"/>
      <c r="AE46" s="160"/>
    </row>
    <row r="47" spans="1:31" ht="24" customHeight="1">
      <c r="A47" s="325"/>
      <c r="B47" s="326"/>
      <c r="C47" s="204" t="s">
        <v>211</v>
      </c>
      <c r="D47" s="84"/>
      <c r="E47" s="82"/>
      <c r="F47" s="82"/>
      <c r="G47" s="82"/>
      <c r="H47" s="82"/>
      <c r="I47" s="204" t="s">
        <v>139</v>
      </c>
      <c r="J47" s="82"/>
      <c r="K47" s="82"/>
      <c r="L47" s="82"/>
      <c r="M47" s="82"/>
      <c r="N47" s="83"/>
      <c r="O47" s="228" t="s">
        <v>26</v>
      </c>
      <c r="P47" s="260" t="s">
        <v>137</v>
      </c>
      <c r="Q47" s="194"/>
      <c r="R47" s="194"/>
      <c r="S47" s="194"/>
      <c r="T47" s="277">
        <f ca="1">T44+T46</f>
        <v>14123032.796975965</v>
      </c>
      <c r="U47" s="277"/>
      <c r="V47" s="277"/>
      <c r="W47" s="169"/>
      <c r="X47" s="279">
        <f ca="1">X44+X46</f>
        <v>11531032.796975965</v>
      </c>
      <c r="Y47" s="280"/>
      <c r="Z47" s="280"/>
      <c r="AA47" s="281"/>
      <c r="AB47" s="160"/>
      <c r="AC47" s="160"/>
      <c r="AD47" s="160"/>
      <c r="AE47" s="160"/>
    </row>
    <row r="48" spans="1:31" ht="24" customHeight="1">
      <c r="A48" s="325"/>
      <c r="B48" s="326"/>
      <c r="C48" s="206"/>
      <c r="D48" s="82"/>
      <c r="E48" s="82"/>
      <c r="F48" s="82"/>
      <c r="G48" s="82"/>
      <c r="H48" s="82"/>
      <c r="I48" s="257" t="s">
        <v>186</v>
      </c>
      <c r="J48" s="258"/>
      <c r="K48" s="258"/>
      <c r="L48" s="258"/>
      <c r="M48" s="258"/>
      <c r="N48" s="259"/>
      <c r="O48" s="227">
        <v>400000</v>
      </c>
      <c r="P48" s="168" t="s">
        <v>202</v>
      </c>
      <c r="Q48" s="168"/>
      <c r="R48" s="168"/>
      <c r="S48" s="168"/>
      <c r="T48" s="373">
        <f ca="1">(T43-T47)</f>
        <v>2874871.2030240353</v>
      </c>
      <c r="U48" s="373"/>
      <c r="V48" s="373"/>
      <c r="W48" s="169"/>
      <c r="X48" s="282">
        <f ca="1">(X43-X47)</f>
        <v>610327.20302403532</v>
      </c>
      <c r="Y48" s="283"/>
      <c r="Z48" s="283"/>
      <c r="AA48" s="284"/>
      <c r="AB48" s="145" t="s">
        <v>230</v>
      </c>
      <c r="AC48" s="160"/>
      <c r="AD48" s="160"/>
      <c r="AE48" s="160"/>
    </row>
    <row r="49" spans="1:34" ht="24" customHeight="1">
      <c r="A49" s="325"/>
      <c r="B49" s="326"/>
      <c r="C49" s="206"/>
      <c r="D49" s="82"/>
      <c r="E49" s="82"/>
      <c r="F49" s="82"/>
      <c r="G49" s="82"/>
      <c r="H49" s="82"/>
      <c r="I49" s="204" t="s">
        <v>71</v>
      </c>
      <c r="J49" s="84"/>
      <c r="K49" s="84"/>
      <c r="L49" s="84"/>
      <c r="M49" s="84"/>
      <c r="N49" s="149"/>
      <c r="O49" s="229">
        <v>1</v>
      </c>
      <c r="P49" s="199"/>
      <c r="Q49" s="199"/>
      <c r="R49" s="199"/>
      <c r="S49" s="199"/>
      <c r="T49" s="199"/>
      <c r="U49" s="199"/>
      <c r="V49" s="199"/>
      <c r="W49" s="169"/>
      <c r="X49" s="285"/>
      <c r="Y49" s="286"/>
      <c r="Z49" s="286"/>
      <c r="AA49" s="287"/>
      <c r="AB49" s="160"/>
      <c r="AC49" s="160"/>
      <c r="AD49" s="160"/>
      <c r="AE49" s="160"/>
    </row>
    <row r="50" spans="1:34" ht="24" customHeight="1">
      <c r="A50" s="325"/>
      <c r="B50" s="326"/>
      <c r="C50" s="206"/>
      <c r="D50" s="82"/>
      <c r="E50" s="82"/>
      <c r="F50" s="82"/>
      <c r="G50" s="82"/>
      <c r="H50" s="82"/>
      <c r="I50" s="204" t="s">
        <v>70</v>
      </c>
      <c r="J50" s="84"/>
      <c r="K50" s="84"/>
      <c r="L50" s="84"/>
      <c r="M50" s="84"/>
      <c r="N50" s="149"/>
      <c r="O50" s="229">
        <v>0.45</v>
      </c>
      <c r="P50" s="143" t="s">
        <v>203</v>
      </c>
      <c r="Q50" s="141"/>
      <c r="R50" s="142"/>
      <c r="S50" s="143"/>
      <c r="T50" s="277">
        <f ca="1">T48+SUM([0]!rngRed)</f>
        <v>8389153.063718969</v>
      </c>
      <c r="U50" s="277"/>
      <c r="V50" s="277"/>
      <c r="W50" s="199"/>
      <c r="X50" s="277">
        <f ca="1">X48+SUM([0]!rngRed20)</f>
        <v>4277241.2365740649</v>
      </c>
      <c r="Y50" s="277"/>
      <c r="Z50" s="277"/>
      <c r="AA50" s="278"/>
      <c r="AB50" s="174"/>
      <c r="AC50" s="174"/>
      <c r="AD50" s="174"/>
      <c r="AE50" s="144"/>
    </row>
    <row r="51" spans="1:34" ht="24" customHeight="1">
      <c r="A51" s="325"/>
      <c r="B51" s="326"/>
      <c r="C51" s="206"/>
      <c r="D51" s="82"/>
      <c r="E51" s="82"/>
      <c r="F51" s="82"/>
      <c r="G51" s="82"/>
      <c r="H51" s="82"/>
      <c r="I51" s="204" t="s">
        <v>55</v>
      </c>
      <c r="J51" s="84"/>
      <c r="K51" s="84"/>
      <c r="L51" s="84"/>
      <c r="M51" s="84"/>
      <c r="N51" s="149"/>
      <c r="O51" s="230">
        <v>3.85E-2</v>
      </c>
      <c r="P51" s="388" t="s">
        <v>225</v>
      </c>
      <c r="Q51" s="389"/>
      <c r="R51" s="389"/>
      <c r="S51" s="389"/>
      <c r="T51" s="277">
        <f ca="1">SUM([0]!rngNorm)</f>
        <v>6209822.3791894419</v>
      </c>
      <c r="U51" s="277"/>
      <c r="V51" s="277"/>
      <c r="W51" s="173"/>
      <c r="X51" s="277">
        <f ca="1">SUM([0]!rngNorm20)</f>
        <v>4139881.5861262945</v>
      </c>
      <c r="Y51" s="277"/>
      <c r="Z51" s="277"/>
      <c r="AA51" s="278"/>
      <c r="AB51" s="175"/>
      <c r="AC51" s="175"/>
      <c r="AD51" s="175"/>
      <c r="AE51" s="253"/>
    </row>
    <row r="52" spans="1:34" ht="24" customHeight="1">
      <c r="A52" s="325"/>
      <c r="B52" s="326"/>
      <c r="C52" s="206"/>
      <c r="D52" s="82"/>
      <c r="E52" s="82"/>
      <c r="F52" s="82"/>
      <c r="G52" s="82"/>
      <c r="H52" s="82"/>
      <c r="I52" s="204" t="s">
        <v>172</v>
      </c>
      <c r="J52" s="84"/>
      <c r="K52" s="84"/>
      <c r="L52" s="84"/>
      <c r="M52" s="84"/>
      <c r="N52" s="149"/>
      <c r="O52" s="231">
        <v>20</v>
      </c>
      <c r="P52" s="82"/>
      <c r="Q52" s="82"/>
      <c r="R52" s="82"/>
      <c r="S52" s="82"/>
      <c r="T52" s="82"/>
      <c r="U52" s="82"/>
      <c r="V52" s="82"/>
      <c r="W52" s="199"/>
      <c r="X52" s="81"/>
      <c r="Y52" s="195"/>
      <c r="Z52" s="195"/>
      <c r="AA52" s="203"/>
      <c r="AB52" s="144"/>
      <c r="AC52" s="144"/>
      <c r="AD52" s="144"/>
      <c r="AE52" s="144"/>
    </row>
    <row r="53" spans="1:34" ht="24" customHeight="1">
      <c r="A53" s="325"/>
      <c r="B53" s="326"/>
      <c r="C53" s="329" t="s">
        <v>61</v>
      </c>
      <c r="D53" s="330"/>
      <c r="E53" s="330"/>
      <c r="F53" s="330"/>
      <c r="G53" s="330"/>
      <c r="H53" s="330"/>
      <c r="I53" s="232" t="s">
        <v>197</v>
      </c>
      <c r="J53" s="90"/>
      <c r="K53" s="90"/>
      <c r="L53" s="90"/>
      <c r="M53" s="90"/>
      <c r="N53" s="150"/>
      <c r="O53" s="233">
        <v>0.03</v>
      </c>
      <c r="P53" s="82"/>
      <c r="Q53" s="82"/>
      <c r="R53" s="82"/>
      <c r="S53" s="82"/>
      <c r="T53" s="82"/>
      <c r="U53" s="82"/>
      <c r="V53" s="82"/>
      <c r="W53" s="178"/>
      <c r="X53" s="85"/>
      <c r="Y53" s="82"/>
      <c r="Z53" s="82"/>
      <c r="AA53" s="205"/>
      <c r="AB53" s="144"/>
      <c r="AC53" s="144"/>
      <c r="AD53" s="144"/>
      <c r="AE53" s="144"/>
      <c r="AH53" s="144"/>
    </row>
    <row r="54" spans="1:34" ht="24" customHeight="1">
      <c r="A54" s="325"/>
      <c r="B54" s="326"/>
      <c r="C54" s="206"/>
      <c r="D54" s="82"/>
      <c r="E54" s="82"/>
      <c r="F54" s="82"/>
      <c r="G54" s="82"/>
      <c r="H54" s="82"/>
      <c r="I54" s="202"/>
      <c r="J54" s="262"/>
      <c r="K54" s="262"/>
      <c r="L54" s="262"/>
      <c r="M54" s="262"/>
      <c r="N54" s="262"/>
      <c r="O54" s="203"/>
      <c r="P54" s="94"/>
      <c r="Q54" s="82"/>
      <c r="R54" s="94"/>
      <c r="S54" s="94"/>
      <c r="T54" s="94"/>
      <c r="U54" s="94"/>
      <c r="V54" s="82"/>
      <c r="W54" s="179"/>
      <c r="X54" s="95"/>
      <c r="Y54" s="94"/>
      <c r="Z54" s="94"/>
      <c r="AA54" s="239"/>
      <c r="AB54" s="176"/>
      <c r="AC54" s="176"/>
      <c r="AD54" s="176"/>
      <c r="AE54" s="170"/>
      <c r="AH54" s="145"/>
    </row>
    <row r="55" spans="1:34" ht="24" customHeight="1">
      <c r="A55" s="325"/>
      <c r="B55" s="326"/>
      <c r="C55" s="206"/>
      <c r="D55" s="82"/>
      <c r="E55" s="82"/>
      <c r="F55" s="82"/>
      <c r="G55" s="82"/>
      <c r="H55" s="82"/>
      <c r="I55" s="204"/>
      <c r="J55" s="84"/>
      <c r="K55" s="84"/>
      <c r="L55" s="84"/>
      <c r="M55" s="84"/>
      <c r="N55" s="84"/>
      <c r="O55" s="234"/>
      <c r="P55" s="94"/>
      <c r="Q55" s="240"/>
      <c r="R55" s="94"/>
      <c r="S55" s="94"/>
      <c r="T55" s="94"/>
      <c r="U55" s="94"/>
      <c r="V55" s="177"/>
      <c r="W55" s="179"/>
      <c r="X55" s="95"/>
      <c r="Y55" s="94"/>
      <c r="Z55" s="94"/>
      <c r="AA55" s="239"/>
      <c r="AB55" s="176"/>
      <c r="AC55" s="176"/>
      <c r="AD55" s="176"/>
      <c r="AE55" s="170"/>
      <c r="AH55" s="145"/>
    </row>
    <row r="56" spans="1:34" ht="24" customHeight="1">
      <c r="A56" s="325"/>
      <c r="B56" s="326"/>
      <c r="C56" s="206"/>
      <c r="D56" s="82"/>
      <c r="E56" s="82"/>
      <c r="F56" s="82"/>
      <c r="G56" s="82"/>
      <c r="H56" s="82"/>
      <c r="I56" s="204"/>
      <c r="J56" s="84"/>
      <c r="K56" s="84"/>
      <c r="L56" s="84"/>
      <c r="M56" s="84"/>
      <c r="N56" s="84"/>
      <c r="O56" s="234"/>
      <c r="P56" s="94"/>
      <c r="Q56" s="82"/>
      <c r="R56" s="94"/>
      <c r="S56" s="94"/>
      <c r="T56" s="94"/>
      <c r="U56" s="94"/>
      <c r="V56" s="177"/>
      <c r="W56" s="179"/>
      <c r="X56" s="95"/>
      <c r="Y56" s="94"/>
      <c r="Z56" s="94"/>
      <c r="AA56" s="239"/>
      <c r="AB56" s="176"/>
      <c r="AC56" s="176"/>
      <c r="AD56" s="176"/>
      <c r="AE56" s="170"/>
      <c r="AH56" s="146"/>
    </row>
    <row r="57" spans="1:34" ht="24" customHeight="1">
      <c r="A57" s="325"/>
      <c r="B57" s="326"/>
      <c r="C57" s="206"/>
      <c r="D57" s="82"/>
      <c r="E57" s="82"/>
      <c r="F57" s="82"/>
      <c r="G57" s="82"/>
      <c r="H57" s="82"/>
      <c r="I57" s="204"/>
      <c r="J57" s="84"/>
      <c r="K57" s="84"/>
      <c r="L57" s="84"/>
      <c r="M57" s="84"/>
      <c r="N57" s="84"/>
      <c r="O57" s="234"/>
      <c r="P57" s="94"/>
      <c r="Q57" s="94"/>
      <c r="R57" s="94"/>
      <c r="S57" s="94"/>
      <c r="T57" s="94"/>
      <c r="U57" s="94"/>
      <c r="V57" s="177"/>
      <c r="W57" s="179"/>
      <c r="X57" s="95"/>
      <c r="Y57" s="94"/>
      <c r="Z57" s="94"/>
      <c r="AA57" s="239"/>
      <c r="AB57" s="176"/>
      <c r="AC57" s="176"/>
      <c r="AD57" s="176"/>
      <c r="AE57" s="170"/>
      <c r="AH57" s="146"/>
    </row>
    <row r="58" spans="1:34" ht="24" customHeight="1">
      <c r="A58" s="325"/>
      <c r="B58" s="326"/>
      <c r="C58" s="206"/>
      <c r="D58" s="82"/>
      <c r="E58" s="82"/>
      <c r="F58" s="82"/>
      <c r="G58" s="82"/>
      <c r="H58" s="82"/>
      <c r="I58" s="204"/>
      <c r="J58" s="84"/>
      <c r="K58" s="84"/>
      <c r="L58" s="84"/>
      <c r="M58" s="84"/>
      <c r="N58" s="84"/>
      <c r="O58" s="234"/>
      <c r="P58" s="94"/>
      <c r="Q58" s="94"/>
      <c r="R58" s="94"/>
      <c r="S58" s="94"/>
      <c r="T58" s="94"/>
      <c r="U58" s="94"/>
      <c r="V58" s="177"/>
      <c r="W58" s="179"/>
      <c r="X58" s="95"/>
      <c r="Y58" s="94"/>
      <c r="Z58" s="94"/>
      <c r="AA58" s="239"/>
      <c r="AB58" s="176"/>
      <c r="AC58" s="176"/>
      <c r="AD58" s="176"/>
      <c r="AE58" s="170"/>
      <c r="AH58" s="146"/>
    </row>
    <row r="59" spans="1:34" ht="24" customHeight="1">
      <c r="A59" s="327"/>
      <c r="B59" s="328"/>
      <c r="C59" s="207"/>
      <c r="D59" s="86"/>
      <c r="E59" s="86"/>
      <c r="F59" s="86"/>
      <c r="G59" s="86"/>
      <c r="H59" s="86"/>
      <c r="I59" s="232"/>
      <c r="J59" s="90"/>
      <c r="K59" s="90"/>
      <c r="L59" s="90"/>
      <c r="M59" s="90"/>
      <c r="N59" s="90"/>
      <c r="O59" s="235"/>
      <c r="P59" s="94"/>
      <c r="Q59" s="94"/>
      <c r="R59" s="94"/>
      <c r="S59" s="94"/>
      <c r="T59" s="94"/>
      <c r="U59" s="94"/>
      <c r="V59" s="177"/>
      <c r="W59" s="179"/>
      <c r="X59" s="95"/>
      <c r="Y59" s="94"/>
      <c r="Z59" s="94"/>
      <c r="AA59" s="239"/>
      <c r="AB59" s="176"/>
      <c r="AC59" s="176"/>
      <c r="AD59" s="176"/>
      <c r="AE59" s="170"/>
    </row>
    <row r="60" spans="1:34" ht="24" customHeight="1">
      <c r="A60" s="319" t="s">
        <v>62</v>
      </c>
      <c r="B60" s="320"/>
      <c r="C60" s="317" t="s">
        <v>65</v>
      </c>
      <c r="D60" s="318"/>
      <c r="E60" s="318"/>
      <c r="F60" s="318"/>
      <c r="G60" s="318"/>
      <c r="H60" s="318"/>
      <c r="I60" s="374" t="s">
        <v>220</v>
      </c>
      <c r="J60" s="375"/>
      <c r="K60" s="375"/>
      <c r="L60" s="375"/>
      <c r="M60" s="375"/>
      <c r="N60" s="375"/>
      <c r="O60" s="376"/>
      <c r="P60" s="180" t="s">
        <v>216</v>
      </c>
      <c r="Q60" s="180"/>
      <c r="R60" s="180"/>
      <c r="S60" s="181"/>
      <c r="T60" s="381">
        <f>O27</f>
        <v>3</v>
      </c>
      <c r="U60" s="381"/>
      <c r="V60" s="381"/>
      <c r="W60" s="167"/>
      <c r="X60" s="291">
        <f>O27</f>
        <v>3</v>
      </c>
      <c r="Y60" s="292"/>
      <c r="Z60" s="292"/>
      <c r="AA60" s="293"/>
      <c r="AB60" s="160"/>
      <c r="AC60" s="160"/>
      <c r="AD60" s="160"/>
      <c r="AE60" s="144"/>
    </row>
    <row r="61" spans="1:34" ht="24" customHeight="1">
      <c r="A61" s="321"/>
      <c r="B61" s="322"/>
      <c r="C61" s="380" t="s">
        <v>63</v>
      </c>
      <c r="D61" s="316"/>
      <c r="E61" s="307"/>
      <c r="F61" s="307"/>
      <c r="G61" s="315" t="s">
        <v>64</v>
      </c>
      <c r="H61" s="316"/>
      <c r="I61" s="377"/>
      <c r="J61" s="378"/>
      <c r="K61" s="378"/>
      <c r="L61" s="378"/>
      <c r="M61" s="378"/>
      <c r="N61" s="378"/>
      <c r="O61" s="379"/>
      <c r="P61" s="180" t="s">
        <v>204</v>
      </c>
      <c r="Q61" s="180"/>
      <c r="R61" s="180"/>
      <c r="S61" s="180"/>
      <c r="T61" s="381">
        <f>T60*(To_Year-From_Year+1-5)</f>
        <v>75</v>
      </c>
      <c r="U61" s="381"/>
      <c r="V61" s="381"/>
      <c r="W61" s="167"/>
      <c r="X61" s="291">
        <f>X60*O52-5</f>
        <v>55</v>
      </c>
      <c r="Y61" s="292"/>
      <c r="Z61" s="292"/>
      <c r="AA61" s="293"/>
      <c r="AB61" s="160"/>
      <c r="AC61" s="160"/>
      <c r="AD61" s="160"/>
      <c r="AE61" s="144"/>
    </row>
    <row r="62" spans="1:34" ht="24" customHeight="1">
      <c r="A62" s="321"/>
      <c r="B62" s="322"/>
      <c r="C62" s="208"/>
      <c r="D62" s="88"/>
      <c r="E62" s="193"/>
      <c r="F62" s="193"/>
      <c r="G62" s="87"/>
      <c r="H62" s="88"/>
      <c r="I62" s="275" t="s">
        <v>222</v>
      </c>
      <c r="J62" s="276"/>
      <c r="K62" s="276"/>
      <c r="L62" s="276"/>
      <c r="M62" s="276"/>
      <c r="N62" s="276"/>
      <c r="O62" s="263">
        <f>O26</f>
        <v>15</v>
      </c>
      <c r="P62" s="180" t="s">
        <v>188</v>
      </c>
      <c r="Q62" s="180"/>
      <c r="R62" s="180"/>
      <c r="S62" s="180"/>
      <c r="T62" s="382">
        <v>0.34</v>
      </c>
      <c r="U62" s="382"/>
      <c r="V62" s="382"/>
      <c r="W62" s="167"/>
      <c r="X62" s="294">
        <v>0.34</v>
      </c>
      <c r="Y62" s="295"/>
      <c r="Z62" s="295"/>
      <c r="AA62" s="296"/>
      <c r="AB62" s="160"/>
      <c r="AC62" s="160"/>
      <c r="AD62" s="160"/>
      <c r="AE62" s="144"/>
    </row>
    <row r="63" spans="1:34" ht="24" customHeight="1">
      <c r="A63" s="321"/>
      <c r="B63" s="322"/>
      <c r="C63" s="209"/>
      <c r="D63" s="91"/>
      <c r="E63" s="91"/>
      <c r="F63" s="91"/>
      <c r="G63" s="91"/>
      <c r="H63" s="91"/>
      <c r="I63" s="275" t="s">
        <v>223</v>
      </c>
      <c r="J63" s="276"/>
      <c r="K63" s="276"/>
      <c r="L63" s="276"/>
      <c r="M63" s="276"/>
      <c r="N63" s="276"/>
      <c r="O63" s="263">
        <f>O27</f>
        <v>3</v>
      </c>
      <c r="P63" s="288" t="s">
        <v>232</v>
      </c>
      <c r="Q63" s="288"/>
      <c r="R63" s="288"/>
      <c r="S63" s="288"/>
      <c r="T63" s="290">
        <f>T61/(T62*12)</f>
        <v>18.382352941176471</v>
      </c>
      <c r="U63" s="290"/>
      <c r="V63" s="290"/>
      <c r="W63" s="182"/>
      <c r="X63" s="297">
        <f>X61/(X62*12)</f>
        <v>13.480392156862745</v>
      </c>
      <c r="Y63" s="298"/>
      <c r="Z63" s="298"/>
      <c r="AA63" s="299"/>
      <c r="AB63" s="184"/>
      <c r="AC63" s="184"/>
      <c r="AD63" s="184"/>
      <c r="AE63" s="144"/>
    </row>
    <row r="64" spans="1:34" ht="24" customHeight="1">
      <c r="A64" s="321"/>
      <c r="B64" s="322"/>
      <c r="C64" s="331" t="s">
        <v>66</v>
      </c>
      <c r="D64" s="332"/>
      <c r="E64" s="332"/>
      <c r="F64" s="332"/>
      <c r="G64" s="332"/>
      <c r="H64" s="332"/>
      <c r="I64" s="275" t="s">
        <v>221</v>
      </c>
      <c r="J64" s="276"/>
      <c r="K64" s="276"/>
      <c r="L64" s="276"/>
      <c r="M64" s="276"/>
      <c r="N64" s="276"/>
      <c r="O64" s="236">
        <v>14</v>
      </c>
      <c r="P64" s="289"/>
      <c r="Q64" s="289"/>
      <c r="R64" s="289"/>
      <c r="S64" s="289"/>
      <c r="T64" s="290"/>
      <c r="U64" s="290"/>
      <c r="V64" s="290"/>
      <c r="W64" s="183"/>
      <c r="X64" s="300"/>
      <c r="Y64" s="301"/>
      <c r="Z64" s="301"/>
      <c r="AA64" s="302"/>
      <c r="AB64" s="184"/>
      <c r="AC64" s="184"/>
      <c r="AD64" s="184"/>
      <c r="AE64" s="144"/>
    </row>
    <row r="65" spans="1:31" ht="24" customHeight="1">
      <c r="A65" s="321"/>
      <c r="B65" s="322"/>
      <c r="C65" s="209"/>
      <c r="D65" s="91"/>
      <c r="E65" s="91"/>
      <c r="F65" s="91"/>
      <c r="G65" s="91"/>
      <c r="H65" s="91"/>
      <c r="I65" s="383" t="s">
        <v>226</v>
      </c>
      <c r="J65" s="384"/>
      <c r="K65" s="384"/>
      <c r="L65" s="384"/>
      <c r="M65" s="384"/>
      <c r="N65" s="384"/>
      <c r="O65" s="268"/>
      <c r="P65" s="309" t="s">
        <v>212</v>
      </c>
      <c r="Q65" s="309"/>
      <c r="R65" s="309"/>
      <c r="S65" s="310"/>
      <c r="T65" s="305" t="s">
        <v>205</v>
      </c>
      <c r="U65" s="305"/>
      <c r="V65" s="305"/>
      <c r="W65" s="199"/>
      <c r="X65" s="305" t="s">
        <v>205</v>
      </c>
      <c r="Y65" s="305"/>
      <c r="Z65" s="305"/>
      <c r="AA65" s="306"/>
      <c r="AB65" s="145"/>
      <c r="AC65" s="145"/>
      <c r="AD65" s="145"/>
      <c r="AE65" s="145"/>
    </row>
    <row r="66" spans="1:31" ht="24" customHeight="1">
      <c r="A66" s="321"/>
      <c r="B66" s="322"/>
      <c r="C66" s="209"/>
      <c r="D66" s="91"/>
      <c r="E66" s="91"/>
      <c r="F66" s="91"/>
      <c r="G66" s="91"/>
      <c r="H66" s="91"/>
      <c r="I66" s="385"/>
      <c r="J66" s="386"/>
      <c r="K66" s="386"/>
      <c r="L66" s="386"/>
      <c r="M66" s="386"/>
      <c r="N66" s="386"/>
      <c r="O66" s="265"/>
      <c r="P66" s="307" t="s">
        <v>215</v>
      </c>
      <c r="Q66" s="307"/>
      <c r="R66" s="307"/>
      <c r="S66" s="308"/>
      <c r="T66" s="305" t="s">
        <v>205</v>
      </c>
      <c r="U66" s="305"/>
      <c r="V66" s="305"/>
      <c r="W66" s="199"/>
      <c r="X66" s="303" t="s">
        <v>205</v>
      </c>
      <c r="Y66" s="303"/>
      <c r="Z66" s="303"/>
      <c r="AA66" s="304"/>
      <c r="AB66" s="144"/>
      <c r="AC66" s="144"/>
      <c r="AD66" s="144"/>
      <c r="AE66" s="144"/>
    </row>
    <row r="67" spans="1:31" ht="24" customHeight="1">
      <c r="A67" s="321"/>
      <c r="B67" s="322"/>
      <c r="C67" s="209"/>
      <c r="D67" s="91"/>
      <c r="E67" s="91"/>
      <c r="F67" s="91"/>
      <c r="G67" s="91"/>
      <c r="H67" s="91"/>
      <c r="I67" s="385"/>
      <c r="J67" s="386"/>
      <c r="K67" s="386"/>
      <c r="L67" s="386"/>
      <c r="M67" s="386"/>
      <c r="N67" s="386"/>
      <c r="O67" s="269">
        <v>2054</v>
      </c>
      <c r="P67" s="273" t="s">
        <v>175</v>
      </c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4"/>
      <c r="AB67" s="144"/>
      <c r="AC67" s="144"/>
      <c r="AD67" s="144"/>
      <c r="AE67" s="144"/>
    </row>
    <row r="68" spans="1:31" ht="24" customHeight="1">
      <c r="A68" s="321"/>
      <c r="B68" s="322"/>
      <c r="C68" s="209"/>
      <c r="D68" s="91"/>
      <c r="E68" s="91"/>
      <c r="F68" s="91"/>
      <c r="G68" s="91"/>
      <c r="H68" s="91"/>
      <c r="I68" s="266"/>
      <c r="J68" s="264"/>
      <c r="K68" s="264"/>
      <c r="L68" s="264"/>
      <c r="M68" s="264"/>
      <c r="N68" s="264"/>
      <c r="O68" s="267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210"/>
      <c r="AB68" s="144"/>
      <c r="AC68" s="144"/>
      <c r="AD68" s="144"/>
      <c r="AE68" s="144"/>
    </row>
    <row r="69" spans="1:31" ht="24" customHeight="1">
      <c r="A69" s="321"/>
      <c r="B69" s="322"/>
      <c r="C69" s="211"/>
      <c r="D69" s="92"/>
      <c r="E69" s="92"/>
      <c r="F69" s="92"/>
      <c r="G69" s="92"/>
      <c r="H69" s="92"/>
      <c r="I69" s="383" t="str">
        <f>"Years added per area-wide  pumping reduction:"</f>
        <v>Years added per area-wide  pumping reduction:</v>
      </c>
      <c r="J69" s="384"/>
      <c r="K69" s="384"/>
      <c r="L69" s="384"/>
      <c r="M69" s="384"/>
      <c r="N69" s="384"/>
      <c r="O69" s="268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210"/>
      <c r="AB69" s="144"/>
      <c r="AC69" s="144"/>
      <c r="AD69" s="144"/>
      <c r="AE69" s="144"/>
    </row>
    <row r="70" spans="1:31" ht="24" customHeight="1">
      <c r="A70" s="321"/>
      <c r="B70" s="322"/>
      <c r="C70" s="211"/>
      <c r="D70" s="92"/>
      <c r="E70" s="92"/>
      <c r="F70" s="92"/>
      <c r="G70" s="92"/>
      <c r="H70" s="92"/>
      <c r="I70" s="385"/>
      <c r="J70" s="386"/>
      <c r="K70" s="386"/>
      <c r="L70" s="386"/>
      <c r="M70" s="386"/>
      <c r="N70" s="386"/>
      <c r="O70" s="269" t="str">
        <f>TEXT(O28*100,"00")&amp;"%"</f>
        <v>20%</v>
      </c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210"/>
      <c r="AB70" s="144"/>
      <c r="AC70" s="144"/>
      <c r="AD70" s="144"/>
      <c r="AE70" s="144"/>
    </row>
    <row r="71" spans="1:31" ht="24" customHeight="1">
      <c r="A71" s="321"/>
      <c r="B71" s="322"/>
      <c r="C71" s="211" t="s">
        <v>231</v>
      </c>
      <c r="D71" s="92"/>
      <c r="E71" s="92"/>
      <c r="F71" s="92"/>
      <c r="G71" s="92"/>
      <c r="H71" s="92"/>
      <c r="I71" s="385"/>
      <c r="J71" s="386"/>
      <c r="K71" s="386"/>
      <c r="L71" s="386"/>
      <c r="M71" s="386"/>
      <c r="N71" s="386"/>
      <c r="O71" s="270" t="str">
        <f>"5-10"</f>
        <v>5-10</v>
      </c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210"/>
      <c r="AB71" s="144"/>
      <c r="AC71" s="144"/>
      <c r="AD71" s="144"/>
      <c r="AE71" s="144"/>
    </row>
    <row r="72" spans="1:31" ht="24" customHeight="1">
      <c r="A72" s="321"/>
      <c r="B72" s="322"/>
      <c r="C72" s="211" t="s">
        <v>67</v>
      </c>
      <c r="D72" s="92"/>
      <c r="E72" s="92"/>
      <c r="F72" s="92"/>
      <c r="G72" s="92"/>
      <c r="H72" s="92"/>
      <c r="I72" s="266"/>
      <c r="J72" s="264"/>
      <c r="K72" s="264"/>
      <c r="L72" s="264"/>
      <c r="M72" s="264"/>
      <c r="N72" s="264"/>
      <c r="O72" s="267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210"/>
      <c r="AB72" s="144"/>
      <c r="AC72" s="144"/>
      <c r="AD72" s="144"/>
      <c r="AE72" s="144"/>
    </row>
    <row r="73" spans="1:31" ht="24" customHeight="1">
      <c r="A73" s="353" t="s">
        <v>140</v>
      </c>
      <c r="B73" s="354"/>
      <c r="C73" s="357" t="s">
        <v>151</v>
      </c>
      <c r="D73" s="358"/>
      <c r="E73" s="358"/>
      <c r="F73" s="358"/>
      <c r="G73" s="358"/>
      <c r="H73" s="358"/>
      <c r="I73" s="361" t="s">
        <v>142</v>
      </c>
      <c r="J73" s="362"/>
      <c r="K73" s="362"/>
      <c r="L73" s="362"/>
      <c r="M73" s="362"/>
      <c r="N73" s="363"/>
      <c r="O73" s="236">
        <v>2</v>
      </c>
      <c r="P73" s="390" t="s">
        <v>174</v>
      </c>
      <c r="Q73" s="390"/>
      <c r="R73" s="390"/>
      <c r="S73" s="390"/>
      <c r="T73" s="390"/>
      <c r="U73" s="390"/>
      <c r="V73" s="390"/>
      <c r="W73" s="390"/>
      <c r="X73" s="390"/>
      <c r="Y73" s="390"/>
      <c r="Z73" s="390"/>
      <c r="AA73" s="391"/>
      <c r="AB73" s="145"/>
      <c r="AC73" s="145"/>
      <c r="AD73" s="145"/>
      <c r="AE73" s="145"/>
    </row>
    <row r="74" spans="1:31" ht="24" customHeight="1">
      <c r="A74" s="355"/>
      <c r="B74" s="356"/>
      <c r="C74" s="359"/>
      <c r="D74" s="360"/>
      <c r="E74" s="360"/>
      <c r="F74" s="360"/>
      <c r="G74" s="360"/>
      <c r="H74" s="360"/>
      <c r="I74" s="364" t="s">
        <v>141</v>
      </c>
      <c r="J74" s="365"/>
      <c r="K74" s="365"/>
      <c r="L74" s="365"/>
      <c r="M74" s="365"/>
      <c r="N74" s="366"/>
      <c r="O74" s="236">
        <v>14</v>
      </c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241"/>
      <c r="AB74" s="144"/>
      <c r="AC74" s="144"/>
      <c r="AD74" s="144"/>
      <c r="AE74" s="144"/>
    </row>
    <row r="75" spans="1:31" ht="24" customHeight="1">
      <c r="A75" s="355"/>
      <c r="B75" s="356"/>
      <c r="C75" s="359"/>
      <c r="D75" s="360"/>
      <c r="E75" s="360"/>
      <c r="F75" s="360"/>
      <c r="G75" s="360"/>
      <c r="H75" s="360"/>
      <c r="I75" s="364" t="s">
        <v>152</v>
      </c>
      <c r="J75" s="365"/>
      <c r="K75" s="365"/>
      <c r="L75" s="365"/>
      <c r="M75" s="365"/>
      <c r="N75" s="366"/>
      <c r="O75" s="236">
        <v>0</v>
      </c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241"/>
      <c r="AB75" s="144"/>
      <c r="AC75" s="144"/>
      <c r="AD75" s="144"/>
      <c r="AE75" s="144"/>
    </row>
    <row r="76" spans="1:31" ht="24" customHeight="1">
      <c r="A76" s="355"/>
      <c r="B76" s="356"/>
      <c r="C76" s="359"/>
      <c r="D76" s="360"/>
      <c r="E76" s="360"/>
      <c r="F76" s="360"/>
      <c r="G76" s="360"/>
      <c r="H76" s="360"/>
      <c r="I76" s="367" t="s">
        <v>161</v>
      </c>
      <c r="J76" s="368"/>
      <c r="K76" s="368"/>
      <c r="L76" s="368"/>
      <c r="M76" s="368"/>
      <c r="N76" s="368"/>
      <c r="O76" s="36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241"/>
      <c r="AB76" s="144"/>
      <c r="AC76" s="144"/>
      <c r="AD76" s="144"/>
      <c r="AE76" s="144"/>
    </row>
    <row r="77" spans="1:31" ht="24" customHeight="1" thickBot="1">
      <c r="A77" s="355"/>
      <c r="B77" s="356"/>
      <c r="C77" s="359"/>
      <c r="D77" s="360"/>
      <c r="E77" s="360"/>
      <c r="F77" s="360"/>
      <c r="G77" s="360"/>
      <c r="H77" s="360"/>
      <c r="I77" s="370"/>
      <c r="J77" s="371"/>
      <c r="K77" s="371"/>
      <c r="L77" s="371"/>
      <c r="M77" s="371"/>
      <c r="N77" s="371"/>
      <c r="O77" s="372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241"/>
      <c r="AB77" s="144"/>
      <c r="AC77" s="144"/>
      <c r="AD77" s="144"/>
      <c r="AE77" s="144"/>
    </row>
    <row r="78" spans="1:31" ht="15" customHeight="1">
      <c r="A78" s="243" t="s">
        <v>217</v>
      </c>
      <c r="B78" s="244"/>
      <c r="C78" s="244"/>
      <c r="D78" s="244"/>
      <c r="E78" s="244"/>
      <c r="F78" s="244"/>
      <c r="G78" s="244"/>
      <c r="H78" s="244"/>
      <c r="I78" s="244"/>
      <c r="J78" s="244"/>
      <c r="K78" s="244"/>
      <c r="L78" s="244"/>
      <c r="M78" s="244"/>
      <c r="N78" s="244"/>
      <c r="O78" s="244"/>
      <c r="P78" s="244"/>
      <c r="Q78" s="244"/>
      <c r="R78" s="244"/>
      <c r="S78" s="244"/>
      <c r="T78" s="244"/>
      <c r="U78" s="244"/>
      <c r="V78" s="244"/>
      <c r="W78" s="244"/>
      <c r="X78" s="244"/>
      <c r="Y78" s="244"/>
      <c r="Z78" s="244"/>
      <c r="AA78" s="245"/>
    </row>
    <row r="79" spans="1:31" ht="15" customHeight="1">
      <c r="A79" s="246"/>
      <c r="B79" s="242"/>
      <c r="C79" s="272" t="s">
        <v>218</v>
      </c>
      <c r="D79" s="272"/>
      <c r="E79" s="272"/>
      <c r="F79" s="272"/>
      <c r="G79" s="272"/>
      <c r="H79" s="272"/>
      <c r="I79" s="272"/>
      <c r="J79" s="272"/>
      <c r="K79" s="242"/>
      <c r="L79" s="272" t="s">
        <v>219</v>
      </c>
      <c r="M79" s="272"/>
      <c r="N79" s="272"/>
      <c r="O79" s="272"/>
      <c r="P79" s="272"/>
      <c r="Q79" s="242"/>
      <c r="R79" s="242"/>
      <c r="S79" s="242"/>
      <c r="T79" s="242"/>
      <c r="U79" s="242"/>
      <c r="V79" s="242"/>
      <c r="W79" s="242"/>
      <c r="X79" s="242"/>
      <c r="Y79" s="242"/>
      <c r="Z79" s="242"/>
      <c r="AA79" s="247"/>
    </row>
    <row r="80" spans="1:31" ht="15" customHeight="1">
      <c r="A80" s="441"/>
      <c r="B80" s="272"/>
      <c r="C80" s="242"/>
      <c r="D80" s="272"/>
      <c r="E80" s="272"/>
      <c r="F80" s="242"/>
      <c r="G80" s="272"/>
      <c r="H80" s="272"/>
      <c r="I80" s="242"/>
      <c r="J80" s="272"/>
      <c r="K80" s="272"/>
      <c r="L80" s="242"/>
      <c r="M80" s="272"/>
      <c r="N80" s="272"/>
      <c r="O80" s="242"/>
      <c r="P80" s="272"/>
      <c r="Q80" s="272"/>
      <c r="R80" s="242"/>
      <c r="S80" s="272"/>
      <c r="T80" s="272"/>
      <c r="U80" s="242"/>
      <c r="V80" s="242"/>
      <c r="W80" s="242"/>
      <c r="X80" s="242"/>
      <c r="Y80" s="242"/>
      <c r="Z80" s="242"/>
      <c r="AA80" s="247"/>
    </row>
    <row r="81" spans="1:27" ht="15.75" thickBot="1">
      <c r="A81" s="248"/>
      <c r="B81" s="249"/>
      <c r="C81" s="249"/>
      <c r="D81" s="249"/>
      <c r="E81" s="249"/>
      <c r="F81" s="249"/>
      <c r="G81" s="249"/>
      <c r="H81" s="249"/>
      <c r="I81" s="249"/>
      <c r="J81" s="249"/>
      <c r="K81" s="249"/>
      <c r="L81" s="249"/>
      <c r="M81" s="249"/>
      <c r="N81" s="249"/>
      <c r="O81" s="249"/>
      <c r="P81" s="250"/>
      <c r="Q81" s="249"/>
      <c r="R81" s="249"/>
      <c r="S81" s="249"/>
      <c r="T81" s="249"/>
      <c r="U81" s="249"/>
      <c r="V81" s="249"/>
      <c r="W81" s="249"/>
      <c r="X81" s="249"/>
      <c r="Y81" s="249"/>
      <c r="Z81" s="249"/>
      <c r="AA81" s="251"/>
    </row>
    <row r="83" spans="1:27" ht="23.25">
      <c r="J83" s="74"/>
    </row>
    <row r="84" spans="1:27" ht="23.25">
      <c r="J84" s="74"/>
    </row>
    <row r="89" spans="1:27">
      <c r="E89"/>
    </row>
    <row r="108" spans="10:10">
      <c r="J108"/>
    </row>
  </sheetData>
  <scenarios current="0" show="0" sqref="AB37">
    <scenario name="No Tax Credits" locked="1" hidden="1" count="2" user="Beej" comment="No PTC or ITC.">
      <inputCells r="O51" val="0.0385" numFmtId="170"/>
      <inputCells r="O44" val="3000000" numFmtId="169"/>
    </scenario>
    <scenario name="With PTC" locked="1" count="1" user="Beej" comment="Using 2019 tax production credit of 0.92 cents.">
      <inputCells r="O51" val="0.0477" numFmtId="170"/>
    </scenario>
    <scenario name="With ITC" locked="1" count="1" user="Beej" comment="Assuming 2019 rate of 12% on equipment.">
      <inputCells r="O44" val="2640000" numFmtId="169"/>
    </scenario>
  </scenarios>
  <mergeCells count="135">
    <mergeCell ref="A21:B22"/>
    <mergeCell ref="A80:B80"/>
    <mergeCell ref="D80:E80"/>
    <mergeCell ref="G80:H80"/>
    <mergeCell ref="J80:K80"/>
    <mergeCell ref="M80:N80"/>
    <mergeCell ref="P80:Q80"/>
    <mergeCell ref="S80:T80"/>
    <mergeCell ref="I38:N38"/>
    <mergeCell ref="I25:N25"/>
    <mergeCell ref="I28:N28"/>
    <mergeCell ref="I33:K33"/>
    <mergeCell ref="I37:O37"/>
    <mergeCell ref="T21:V21"/>
    <mergeCell ref="T23:V23"/>
    <mergeCell ref="T24:V24"/>
    <mergeCell ref="P22:S22"/>
    <mergeCell ref="P21:S21"/>
    <mergeCell ref="T26:V26"/>
    <mergeCell ref="T25:V25"/>
    <mergeCell ref="P25:S25"/>
    <mergeCell ref="T27:V27"/>
    <mergeCell ref="T28:V28"/>
    <mergeCell ref="P29:S29"/>
    <mergeCell ref="T30:V30"/>
    <mergeCell ref="T31:V31"/>
    <mergeCell ref="T32:V32"/>
    <mergeCell ref="T33:V33"/>
    <mergeCell ref="T34:V34"/>
    <mergeCell ref="T35:V35"/>
    <mergeCell ref="C21:H21"/>
    <mergeCell ref="C23:D23"/>
    <mergeCell ref="G23:H23"/>
    <mergeCell ref="C24:D34"/>
    <mergeCell ref="G24:H34"/>
    <mergeCell ref="C22:H22"/>
    <mergeCell ref="E24:F34"/>
    <mergeCell ref="E23:F23"/>
    <mergeCell ref="I23:O23"/>
    <mergeCell ref="I29:N29"/>
    <mergeCell ref="I30:N30"/>
    <mergeCell ref="I27:N27"/>
    <mergeCell ref="I21:O21"/>
    <mergeCell ref="I22:O22"/>
    <mergeCell ref="I31:K31"/>
    <mergeCell ref="I32:K32"/>
    <mergeCell ref="I24:O24"/>
    <mergeCell ref="I26:N26"/>
    <mergeCell ref="X21:AA21"/>
    <mergeCell ref="X23:AA23"/>
    <mergeCell ref="X24:AA24"/>
    <mergeCell ref="X25:AA25"/>
    <mergeCell ref="X26:AA26"/>
    <mergeCell ref="X27:AA27"/>
    <mergeCell ref="X28:AA28"/>
    <mergeCell ref="X30:AA30"/>
    <mergeCell ref="X22:AA22"/>
    <mergeCell ref="X29:AA29"/>
    <mergeCell ref="T43:V43"/>
    <mergeCell ref="T47:V47"/>
    <mergeCell ref="T46:V46"/>
    <mergeCell ref="T45:V45"/>
    <mergeCell ref="T44:V44"/>
    <mergeCell ref="T50:V50"/>
    <mergeCell ref="T51:V51"/>
    <mergeCell ref="P51:S51"/>
    <mergeCell ref="P73:AA73"/>
    <mergeCell ref="A73:B77"/>
    <mergeCell ref="C73:H77"/>
    <mergeCell ref="I73:N73"/>
    <mergeCell ref="I74:N74"/>
    <mergeCell ref="I75:N75"/>
    <mergeCell ref="I76:O77"/>
    <mergeCell ref="T48:V48"/>
    <mergeCell ref="I60:O61"/>
    <mergeCell ref="C61:D61"/>
    <mergeCell ref="E61:F61"/>
    <mergeCell ref="T60:V60"/>
    <mergeCell ref="T61:V61"/>
    <mergeCell ref="T62:V62"/>
    <mergeCell ref="I63:N63"/>
    <mergeCell ref="I65:N67"/>
    <mergeCell ref="I69:N71"/>
    <mergeCell ref="I44:N44"/>
    <mergeCell ref="C44:D44"/>
    <mergeCell ref="I46:N46"/>
    <mergeCell ref="C43:D43"/>
    <mergeCell ref="E43:F43"/>
    <mergeCell ref="I41:J41"/>
    <mergeCell ref="C36:D36"/>
    <mergeCell ref="I35:O35"/>
    <mergeCell ref="I34:O34"/>
    <mergeCell ref="I43:N43"/>
    <mergeCell ref="G43:H43"/>
    <mergeCell ref="A23:B42"/>
    <mergeCell ref="G61:H61"/>
    <mergeCell ref="C60:H60"/>
    <mergeCell ref="A60:B72"/>
    <mergeCell ref="A43:B59"/>
    <mergeCell ref="C46:H46"/>
    <mergeCell ref="C53:H53"/>
    <mergeCell ref="C64:H64"/>
    <mergeCell ref="E44:F44"/>
    <mergeCell ref="G44:H44"/>
    <mergeCell ref="X31:AA31"/>
    <mergeCell ref="X32:AA32"/>
    <mergeCell ref="X33:AA33"/>
    <mergeCell ref="X34:AA34"/>
    <mergeCell ref="X35:AA35"/>
    <mergeCell ref="X43:AA43"/>
    <mergeCell ref="X44:AA44"/>
    <mergeCell ref="X45:AA45"/>
    <mergeCell ref="X46:AA46"/>
    <mergeCell ref="C79:J79"/>
    <mergeCell ref="L79:P79"/>
    <mergeCell ref="P67:AA67"/>
    <mergeCell ref="I64:N64"/>
    <mergeCell ref="X50:AA50"/>
    <mergeCell ref="X51:AA51"/>
    <mergeCell ref="X47:AA47"/>
    <mergeCell ref="X48:AA48"/>
    <mergeCell ref="X49:AA49"/>
    <mergeCell ref="P63:S64"/>
    <mergeCell ref="T63:V64"/>
    <mergeCell ref="X60:AA60"/>
    <mergeCell ref="X61:AA61"/>
    <mergeCell ref="X62:AA62"/>
    <mergeCell ref="X63:AA64"/>
    <mergeCell ref="X66:AA66"/>
    <mergeCell ref="X65:AA65"/>
    <mergeCell ref="T65:V65"/>
    <mergeCell ref="T66:V66"/>
    <mergeCell ref="P66:S66"/>
    <mergeCell ref="P65:S65"/>
    <mergeCell ref="I62:N62"/>
  </mergeCells>
  <pageMargins left="0.25" right="0.25" top="0.75" bottom="0.75" header="0.3" footer="0.3"/>
  <pageSetup scale="4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085" r:id="rId4" name="CommandButton11">
          <controlPr defaultSize="0" autoLine="0" r:id="rId5">
            <anchor moveWithCells="1">
              <from>
                <xdr:col>11</xdr:col>
                <xdr:colOff>504825</xdr:colOff>
                <xdr:row>39</xdr:row>
                <xdr:rowOff>161925</xdr:rowOff>
              </from>
              <to>
                <xdr:col>14</xdr:col>
                <xdr:colOff>466725</xdr:colOff>
                <xdr:row>41</xdr:row>
                <xdr:rowOff>76200</xdr:rowOff>
              </to>
            </anchor>
          </controlPr>
        </control>
      </mc:Choice>
      <mc:Fallback>
        <control shapeId="1085" r:id="rId4" name="CommandButton11"/>
      </mc:Fallback>
    </mc:AlternateContent>
    <mc:AlternateContent xmlns:mc="http://schemas.openxmlformats.org/markup-compatibility/2006">
      <mc:Choice Requires="x14">
        <control shapeId="1078" r:id="rId6" name="CommandButton10">
          <controlPr defaultSize="0" autoLine="0" r:id="rId7">
            <anchor moveWithCells="1">
              <from>
                <xdr:col>11</xdr:col>
                <xdr:colOff>552450</xdr:colOff>
                <xdr:row>30</xdr:row>
                <xdr:rowOff>133350</xdr:rowOff>
              </from>
              <to>
                <xdr:col>14</xdr:col>
                <xdr:colOff>514350</xdr:colOff>
                <xdr:row>32</xdr:row>
                <xdr:rowOff>295275</xdr:rowOff>
              </to>
            </anchor>
          </controlPr>
        </control>
      </mc:Choice>
      <mc:Fallback>
        <control shapeId="1078" r:id="rId6" name="CommandButton10"/>
      </mc:Fallback>
    </mc:AlternateContent>
    <mc:AlternateContent xmlns:mc="http://schemas.openxmlformats.org/markup-compatibility/2006">
      <mc:Choice Requires="x14">
        <control shapeId="1044" r:id="rId8" name="CommandButton2">
          <controlPr autoLine="0" r:id="rId9">
            <anchor moveWithCells="1">
              <from>
                <xdr:col>14</xdr:col>
                <xdr:colOff>257175</xdr:colOff>
                <xdr:row>23</xdr:row>
                <xdr:rowOff>57150</xdr:rowOff>
              </from>
              <to>
                <xdr:col>14</xdr:col>
                <xdr:colOff>723900</xdr:colOff>
                <xdr:row>23</xdr:row>
                <xdr:rowOff>219075</xdr:rowOff>
              </to>
            </anchor>
          </controlPr>
        </control>
      </mc:Choice>
      <mc:Fallback>
        <control shapeId="1044" r:id="rId8" name="CommandButton2"/>
      </mc:Fallback>
    </mc:AlternateContent>
    <mc:AlternateContent xmlns:mc="http://schemas.openxmlformats.org/markup-compatibility/2006">
      <mc:Choice Requires="x14">
        <control shapeId="1043" r:id="rId10" name="CommandButton1">
          <controlPr defaultSize="0" autoLine="0" r:id="rId9">
            <anchor moveWithCells="1">
              <from>
                <xdr:col>14</xdr:col>
                <xdr:colOff>257175</xdr:colOff>
                <xdr:row>22</xdr:row>
                <xdr:rowOff>57150</xdr:rowOff>
              </from>
              <to>
                <xdr:col>14</xdr:col>
                <xdr:colOff>723900</xdr:colOff>
                <xdr:row>22</xdr:row>
                <xdr:rowOff>219075</xdr:rowOff>
              </to>
            </anchor>
          </controlPr>
        </control>
      </mc:Choice>
      <mc:Fallback>
        <control shapeId="1043" r:id="rId10" name="CommandButton1"/>
      </mc:Fallback>
    </mc:AlternateContent>
    <mc:AlternateContent xmlns:mc="http://schemas.openxmlformats.org/markup-compatibility/2006">
      <mc:Choice Requires="x14">
        <control shapeId="1055" r:id="rId11" name="CommandButton5">
          <controlPr defaultSize="0" autoLine="0" r:id="rId12">
            <anchor moveWithCells="1">
              <from>
                <xdr:col>9</xdr:col>
                <xdr:colOff>361950</xdr:colOff>
                <xdr:row>8</xdr:row>
                <xdr:rowOff>123825</xdr:rowOff>
              </from>
              <to>
                <xdr:col>10</xdr:col>
                <xdr:colOff>285750</xdr:colOff>
                <xdr:row>9</xdr:row>
                <xdr:rowOff>133350</xdr:rowOff>
              </to>
            </anchor>
          </controlPr>
        </control>
      </mc:Choice>
      <mc:Fallback>
        <control shapeId="1055" r:id="rId11" name="CommandButton5"/>
      </mc:Fallback>
    </mc:AlternateContent>
    <mc:AlternateContent xmlns:mc="http://schemas.openxmlformats.org/markup-compatibility/2006">
      <mc:Choice Requires="x14">
        <control shapeId="1056" r:id="rId13" name="CommandButton6">
          <controlPr defaultSize="0" autoLine="0" r:id="rId14">
            <anchor moveWithCells="1">
              <from>
                <xdr:col>9</xdr:col>
                <xdr:colOff>323850</xdr:colOff>
                <xdr:row>15</xdr:row>
                <xdr:rowOff>76200</xdr:rowOff>
              </from>
              <to>
                <xdr:col>10</xdr:col>
                <xdr:colOff>257175</xdr:colOff>
                <xdr:row>16</xdr:row>
                <xdr:rowOff>114300</xdr:rowOff>
              </to>
            </anchor>
          </controlPr>
        </control>
      </mc:Choice>
      <mc:Fallback>
        <control shapeId="1056" r:id="rId13" name="CommandButton6"/>
      </mc:Fallback>
    </mc:AlternateContent>
    <mc:AlternateContent xmlns:mc="http://schemas.openxmlformats.org/markup-compatibility/2006">
      <mc:Choice Requires="x14">
        <control shapeId="1058" r:id="rId15" name="CommandButton8">
          <controlPr defaultSize="0" autoLine="0" autoPict="0" r:id="rId16">
            <anchor moveWithCells="1">
              <from>
                <xdr:col>6</xdr:col>
                <xdr:colOff>95250</xdr:colOff>
                <xdr:row>71</xdr:row>
                <xdr:rowOff>66675</xdr:rowOff>
              </from>
              <to>
                <xdr:col>6</xdr:col>
                <xdr:colOff>552450</xdr:colOff>
                <xdr:row>71</xdr:row>
                <xdr:rowOff>228600</xdr:rowOff>
              </to>
            </anchor>
          </controlPr>
        </control>
      </mc:Choice>
      <mc:Fallback>
        <control shapeId="1058" r:id="rId15" name="CommandButton8"/>
      </mc:Fallback>
    </mc:AlternateContent>
    <mc:AlternateContent xmlns:mc="http://schemas.openxmlformats.org/markup-compatibility/2006">
      <mc:Choice Requires="x14">
        <control shapeId="1062" r:id="rId17" name="CommandButton9">
          <controlPr defaultSize="0" autoLine="0" r:id="rId18">
            <anchor moveWithCells="1">
              <from>
                <xdr:col>9</xdr:col>
                <xdr:colOff>647700</xdr:colOff>
                <xdr:row>53</xdr:row>
                <xdr:rowOff>219075</xdr:rowOff>
              </from>
              <to>
                <xdr:col>13</xdr:col>
                <xdr:colOff>400050</xdr:colOff>
                <xdr:row>55</xdr:row>
                <xdr:rowOff>247650</xdr:rowOff>
              </to>
            </anchor>
          </controlPr>
        </control>
      </mc:Choice>
      <mc:Fallback>
        <control shapeId="1062" r:id="rId17" name="CommandButton9"/>
      </mc:Fallback>
    </mc:AlternateContent>
    <mc:AlternateContent xmlns:mc="http://schemas.openxmlformats.org/markup-compatibility/2006">
      <mc:Choice Requires="x14">
        <control shapeId="1092" r:id="rId19" name="CommandButton12">
          <controlPr defaultSize="0" autoLine="0" r:id="rId20">
            <anchor moveWithCells="1">
              <from>
                <xdr:col>9</xdr:col>
                <xdr:colOff>657225</xdr:colOff>
                <xdr:row>56</xdr:row>
                <xdr:rowOff>66675</xdr:rowOff>
              </from>
              <to>
                <xdr:col>13</xdr:col>
                <xdr:colOff>400050</xdr:colOff>
                <xdr:row>58</xdr:row>
                <xdr:rowOff>104775</xdr:rowOff>
              </to>
            </anchor>
          </controlPr>
        </control>
      </mc:Choice>
      <mc:Fallback>
        <control shapeId="1092" r:id="rId19" name="CommandButton12"/>
      </mc:Fallback>
    </mc:AlternateContent>
    <mc:AlternateContent xmlns:mc="http://schemas.openxmlformats.org/markup-compatibility/2006">
      <mc:Choice Requires="x14">
        <control shapeId="1106" r:id="rId21" name="PTC">
          <controlPr defaultSize="0" autoLine="0" r:id="rId22">
            <anchor moveWithCells="1">
              <from>
                <xdr:col>17</xdr:col>
                <xdr:colOff>123825</xdr:colOff>
                <xdr:row>53</xdr:row>
                <xdr:rowOff>285750</xdr:rowOff>
              </from>
              <to>
                <xdr:col>19</xdr:col>
                <xdr:colOff>342900</xdr:colOff>
                <xdr:row>56</xdr:row>
                <xdr:rowOff>9525</xdr:rowOff>
              </to>
            </anchor>
          </controlPr>
        </control>
      </mc:Choice>
      <mc:Fallback>
        <control shapeId="1106" r:id="rId21" name="PTC"/>
      </mc:Fallback>
    </mc:AlternateContent>
    <mc:AlternateContent xmlns:mc="http://schemas.openxmlformats.org/markup-compatibility/2006">
      <mc:Choice Requires="x14">
        <control shapeId="1107" r:id="rId23" name="ITC">
          <controlPr defaultSize="0" autoLine="0" r:id="rId24">
            <anchor moveWithCells="1">
              <from>
                <xdr:col>17</xdr:col>
                <xdr:colOff>104775</xdr:colOff>
                <xdr:row>51</xdr:row>
                <xdr:rowOff>114300</xdr:rowOff>
              </from>
              <to>
                <xdr:col>19</xdr:col>
                <xdr:colOff>314325</xdr:colOff>
                <xdr:row>53</xdr:row>
                <xdr:rowOff>152400</xdr:rowOff>
              </to>
            </anchor>
          </controlPr>
        </control>
      </mc:Choice>
      <mc:Fallback>
        <control shapeId="1107" r:id="rId23" name="ITC"/>
      </mc:Fallback>
    </mc:AlternateContent>
    <mc:AlternateContent xmlns:mc="http://schemas.openxmlformats.org/markup-compatibility/2006">
      <mc:Choice Requires="x14">
        <control shapeId="1108" r:id="rId25" name="Reset_Tax">
          <controlPr defaultSize="0" autoLine="0" r:id="rId26">
            <anchor moveWithCells="1">
              <from>
                <xdr:col>17</xdr:col>
                <xdr:colOff>142875</xdr:colOff>
                <xdr:row>56</xdr:row>
                <xdr:rowOff>133350</xdr:rowOff>
              </from>
              <to>
                <xdr:col>19</xdr:col>
                <xdr:colOff>342900</xdr:colOff>
                <xdr:row>58</xdr:row>
                <xdr:rowOff>161925</xdr:rowOff>
              </to>
            </anchor>
          </controlPr>
        </control>
      </mc:Choice>
      <mc:Fallback>
        <control shapeId="1108" r:id="rId25" name="Reset_Tax"/>
      </mc:Fallback>
    </mc:AlternateContent>
    <mc:AlternateContent xmlns:mc="http://schemas.openxmlformats.org/markup-compatibility/2006">
      <mc:Choice Requires="x14">
        <control shapeId="1027" r:id="rId27" name="Check Box 3">
          <controlPr defaultSize="0" autoFill="0" autoLine="0" autoPict="0">
            <anchor moveWithCells="1">
              <from>
                <xdr:col>3</xdr:col>
                <xdr:colOff>571500</xdr:colOff>
                <xdr:row>22</xdr:row>
                <xdr:rowOff>114300</xdr:rowOff>
              </from>
              <to>
                <xdr:col>4</xdr:col>
                <xdr:colOff>57150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28" name="Check Box 4">
          <controlPr defaultSize="0" autoFill="0" autoLine="0" autoPict="0">
            <anchor moveWithCells="1">
              <from>
                <xdr:col>7</xdr:col>
                <xdr:colOff>400050</xdr:colOff>
                <xdr:row>22</xdr:row>
                <xdr:rowOff>114300</xdr:rowOff>
              </from>
              <to>
                <xdr:col>7</xdr:col>
                <xdr:colOff>590550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29" name="Check Box 5">
          <controlPr defaultSize="0" autoFill="0" autoLine="0" autoPict="0">
            <anchor moveWithCells="1">
              <from>
                <xdr:col>2</xdr:col>
                <xdr:colOff>438150</xdr:colOff>
                <xdr:row>33</xdr:row>
                <xdr:rowOff>19050</xdr:rowOff>
              </from>
              <to>
                <xdr:col>3</xdr:col>
                <xdr:colOff>19050</xdr:colOff>
                <xdr:row>33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30" name="Check Box 6">
          <controlPr defaultSize="0" autoFill="0" autoLine="0" autoPict="0">
            <anchor moveWithCells="1">
              <from>
                <xdr:col>6</xdr:col>
                <xdr:colOff>466725</xdr:colOff>
                <xdr:row>33</xdr:row>
                <xdr:rowOff>28575</xdr:rowOff>
              </from>
              <to>
                <xdr:col>7</xdr:col>
                <xdr:colOff>47625</xdr:colOff>
                <xdr:row>33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1" name="Check Box 22">
          <controlPr defaultSize="0" autoFill="0" autoLine="0" autoPict="0">
            <anchor moveWithCells="1">
              <from>
                <xdr:col>2</xdr:col>
                <xdr:colOff>457200</xdr:colOff>
                <xdr:row>62</xdr:row>
                <xdr:rowOff>19050</xdr:rowOff>
              </from>
              <to>
                <xdr:col>3</xdr:col>
                <xdr:colOff>47625</xdr:colOff>
                <xdr:row>62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32" name="Check Box 23">
          <controlPr defaultSize="0" autoFill="0" autoLine="0" autoPict="0">
            <anchor moveWithCells="1">
              <from>
                <xdr:col>6</xdr:col>
                <xdr:colOff>514350</xdr:colOff>
                <xdr:row>62</xdr:row>
                <xdr:rowOff>19050</xdr:rowOff>
              </from>
              <to>
                <xdr:col>7</xdr:col>
                <xdr:colOff>104775</xdr:colOff>
                <xdr:row>62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3" name="Check Box 24">
          <controlPr defaultSize="0" autoFill="0" autoLine="0" autoPict="0">
            <anchor moveWithCells="1">
              <from>
                <xdr:col>4</xdr:col>
                <xdr:colOff>114300</xdr:colOff>
                <xdr:row>42</xdr:row>
                <xdr:rowOff>114300</xdr:rowOff>
              </from>
              <to>
                <xdr:col>4</xdr:col>
                <xdr:colOff>314325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34" name="Check Box 25">
          <controlPr defaultSize="0" autoFill="0" autoLine="0" autoPict="0">
            <anchor moveWithCells="1">
              <from>
                <xdr:col>7</xdr:col>
                <xdr:colOff>333375</xdr:colOff>
                <xdr:row>42</xdr:row>
                <xdr:rowOff>76200</xdr:rowOff>
              </from>
              <to>
                <xdr:col>7</xdr:col>
                <xdr:colOff>523875</xdr:colOff>
                <xdr:row>42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5" name="Check Box 26">
          <controlPr defaultSize="0" autoFill="0" autoLine="0" autoPict="0">
            <anchor moveWithCells="1">
              <from>
                <xdr:col>2</xdr:col>
                <xdr:colOff>476250</xdr:colOff>
                <xdr:row>43</xdr:row>
                <xdr:rowOff>114300</xdr:rowOff>
              </from>
              <to>
                <xdr:col>3</xdr:col>
                <xdr:colOff>47625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6" name="Check Box 27">
          <controlPr defaultSize="0" autoFill="0" autoLine="0" autoPict="0">
            <anchor moveWithCells="1">
              <from>
                <xdr:col>7</xdr:col>
                <xdr:colOff>428625</xdr:colOff>
                <xdr:row>43</xdr:row>
                <xdr:rowOff>114300</xdr:rowOff>
              </from>
              <to>
                <xdr:col>7</xdr:col>
                <xdr:colOff>619125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37" name="Check Box 35">
          <controlPr defaultSize="0" autoFill="0" autoLine="0" autoPict="0">
            <anchor moveWithCells="1">
              <from>
                <xdr:col>5</xdr:col>
                <xdr:colOff>114300</xdr:colOff>
                <xdr:row>43</xdr:row>
                <xdr:rowOff>85725</xdr:rowOff>
              </from>
              <to>
                <xdr:col>5</xdr:col>
                <xdr:colOff>314325</xdr:colOff>
                <xdr:row>43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38" name="Check Box 76">
          <controlPr defaultSize="0" autoFill="0" autoLine="0" autoPict="0">
            <anchor moveWithCells="1">
              <from>
                <xdr:col>6</xdr:col>
                <xdr:colOff>466725</xdr:colOff>
                <xdr:row>35</xdr:row>
                <xdr:rowOff>28575</xdr:rowOff>
              </from>
              <to>
                <xdr:col>7</xdr:col>
                <xdr:colOff>47625</xdr:colOff>
                <xdr:row>35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39" name="Check Box 77">
          <controlPr defaultSize="0" autoFill="0" autoLine="0" autoPict="0">
            <anchor moveWithCells="1">
              <from>
                <xdr:col>6</xdr:col>
                <xdr:colOff>466725</xdr:colOff>
                <xdr:row>36</xdr:row>
                <xdr:rowOff>28575</xdr:rowOff>
              </from>
              <to>
                <xdr:col>7</xdr:col>
                <xdr:colOff>47625</xdr:colOff>
                <xdr:row>36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40" name="Check Box 78">
          <controlPr defaultSize="0" autoFill="0" autoLine="0" autoPict="0">
            <anchor moveWithCells="1">
              <from>
                <xdr:col>6</xdr:col>
                <xdr:colOff>466725</xdr:colOff>
                <xdr:row>37</xdr:row>
                <xdr:rowOff>28575</xdr:rowOff>
              </from>
              <to>
                <xdr:col>7</xdr:col>
                <xdr:colOff>47625</xdr:colOff>
                <xdr:row>37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41" name="Check Box 79">
          <controlPr defaultSize="0" autoFill="0" autoLine="0" autoPict="0">
            <anchor moveWithCells="1">
              <from>
                <xdr:col>6</xdr:col>
                <xdr:colOff>466725</xdr:colOff>
                <xdr:row>38</xdr:row>
                <xdr:rowOff>28575</xdr:rowOff>
              </from>
              <to>
                <xdr:col>7</xdr:col>
                <xdr:colOff>47625</xdr:colOff>
                <xdr:row>38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42" name="Check Box 86">
          <controlPr defaultSize="0" autoFill="0" autoLine="0" autoPict="0">
            <anchor moveWithCells="1">
              <from>
                <xdr:col>9</xdr:col>
                <xdr:colOff>381000</xdr:colOff>
                <xdr:row>18</xdr:row>
                <xdr:rowOff>114300</xdr:rowOff>
              </from>
              <to>
                <xdr:col>9</xdr:col>
                <xdr:colOff>581025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43" name="Check Box 87">
          <controlPr defaultSize="0" autoFill="0" autoLine="0" autoPict="0">
            <anchor moveWithCells="1">
              <from>
                <xdr:col>11</xdr:col>
                <xdr:colOff>485775</xdr:colOff>
                <xdr:row>18</xdr:row>
                <xdr:rowOff>123825</xdr:rowOff>
              </from>
              <to>
                <xdr:col>12</xdr:col>
                <xdr:colOff>76200</xdr:colOff>
                <xdr:row>19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Calcs!$A$32:$A$33</xm:f>
          </x14:formula1>
          <xm:sqref>O47</xm:sqref>
        </x14:dataValidation>
        <x14:dataValidation type="list" allowBlank="1" showInputMessage="1" showErrorMessage="1">
          <x14:formula1>
            <xm:f>Calcs!$A$36:$A$38</xm:f>
          </x14:formula1>
          <xm:sqref>O30</xm:sqref>
        </x14:dataValidation>
        <x14:dataValidation type="list" allowBlank="1" showInputMessage="1" showErrorMessage="1">
          <x14:formula1>
            <xm:f>Calcs!$A$4:$A$27</xm:f>
          </x14:formula1>
          <xm:sqref>O26</xm:sqref>
        </x14:dataValidation>
        <x14:dataValidation type="list" allowBlank="1" showInputMessage="1" showErrorMessage="1">
          <x14:formula1>
            <xm:f>Calcs!$E$4:$E$43</xm:f>
          </x14:formula1>
          <xm:sqref>K41 I41</xm:sqref>
        </x14:dataValidation>
        <x14:dataValidation type="list" allowBlank="1" showInputMessage="1" showErrorMessage="1">
          <x14:formula1>
            <xm:f>Calcs!$A$41:$A$51</xm:f>
          </x14:formula1>
          <xm:sqref>O29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52"/>
  <sheetViews>
    <sheetView topLeftCell="A46" zoomScaleNormal="100" workbookViewId="0">
      <selection activeCell="K18" sqref="K18"/>
    </sheetView>
  </sheetViews>
  <sheetFormatPr defaultRowHeight="15"/>
  <cols>
    <col min="1" max="16384" width="9.140625" style="64"/>
  </cols>
  <sheetData>
    <row r="2" spans="1:8" ht="23.25">
      <c r="A2" s="460"/>
      <c r="B2" s="461"/>
      <c r="C2" s="483" t="s">
        <v>35</v>
      </c>
      <c r="D2" s="484"/>
      <c r="E2" s="484"/>
      <c r="F2" s="484"/>
      <c r="G2" s="484"/>
      <c r="H2" s="485"/>
    </row>
    <row r="3" spans="1:8" ht="23.25">
      <c r="A3" s="462"/>
      <c r="B3" s="463"/>
      <c r="C3" s="483" t="s">
        <v>146</v>
      </c>
      <c r="D3" s="484"/>
      <c r="E3" s="484"/>
      <c r="F3" s="484"/>
      <c r="G3" s="484"/>
      <c r="H3" s="485"/>
    </row>
    <row r="4" spans="1:8" ht="24" customHeight="1">
      <c r="A4" s="478"/>
      <c r="B4" s="479"/>
      <c r="C4" s="486" t="s">
        <v>147</v>
      </c>
      <c r="D4" s="487"/>
      <c r="E4" s="487"/>
      <c r="F4" s="487"/>
      <c r="G4" s="487"/>
      <c r="H4" s="488"/>
    </row>
    <row r="5" spans="1:8" ht="24" customHeight="1">
      <c r="A5" s="478"/>
      <c r="B5" s="479"/>
      <c r="C5" s="486"/>
      <c r="D5" s="487"/>
      <c r="E5" s="487"/>
      <c r="F5" s="487"/>
      <c r="G5" s="487"/>
      <c r="H5" s="488"/>
    </row>
    <row r="6" spans="1:8" ht="24" customHeight="1">
      <c r="A6" s="478"/>
      <c r="B6" s="479"/>
      <c r="C6" s="103"/>
      <c r="D6" s="104"/>
      <c r="E6" s="104"/>
      <c r="F6" s="104"/>
      <c r="G6" s="104"/>
      <c r="H6" s="105"/>
    </row>
    <row r="7" spans="1:8" ht="24" customHeight="1">
      <c r="A7" s="478"/>
      <c r="B7" s="479"/>
      <c r="C7" s="486" t="s">
        <v>148</v>
      </c>
      <c r="D7" s="487"/>
      <c r="E7" s="487"/>
      <c r="F7" s="487"/>
      <c r="G7" s="487"/>
      <c r="H7" s="488"/>
    </row>
    <row r="8" spans="1:8" ht="24" customHeight="1">
      <c r="A8" s="478"/>
      <c r="B8" s="479"/>
      <c r="C8" s="486"/>
      <c r="D8" s="487"/>
      <c r="E8" s="487"/>
      <c r="F8" s="487"/>
      <c r="G8" s="487"/>
      <c r="H8" s="488"/>
    </row>
    <row r="9" spans="1:8" ht="24" customHeight="1">
      <c r="A9" s="478"/>
      <c r="B9" s="479"/>
      <c r="C9" s="103"/>
      <c r="D9" s="104"/>
      <c r="E9" s="104"/>
      <c r="F9" s="104"/>
      <c r="G9" s="104"/>
      <c r="H9" s="105"/>
    </row>
    <row r="10" spans="1:8" ht="24" customHeight="1">
      <c r="A10" s="478"/>
      <c r="B10" s="479"/>
      <c r="C10" s="486" t="s">
        <v>143</v>
      </c>
      <c r="D10" s="487"/>
      <c r="E10" s="487"/>
      <c r="F10" s="487"/>
      <c r="G10" s="487"/>
      <c r="H10" s="488"/>
    </row>
    <row r="11" spans="1:8" ht="24" customHeight="1">
      <c r="A11" s="478"/>
      <c r="B11" s="479"/>
      <c r="C11" s="486"/>
      <c r="D11" s="487"/>
      <c r="E11" s="487"/>
      <c r="F11" s="487"/>
      <c r="G11" s="487"/>
      <c r="H11" s="488"/>
    </row>
    <row r="12" spans="1:8" ht="24" customHeight="1">
      <c r="A12" s="478"/>
      <c r="B12" s="479"/>
      <c r="C12" s="486"/>
      <c r="D12" s="487"/>
      <c r="E12" s="487"/>
      <c r="F12" s="487"/>
      <c r="G12" s="487"/>
      <c r="H12" s="488"/>
    </row>
    <row r="13" spans="1:8" ht="24" customHeight="1">
      <c r="A13" s="478"/>
      <c r="B13" s="479"/>
      <c r="C13" s="486"/>
      <c r="D13" s="487"/>
      <c r="E13" s="487"/>
      <c r="F13" s="487"/>
      <c r="G13" s="487"/>
      <c r="H13" s="488"/>
    </row>
    <row r="14" spans="1:8" ht="24" customHeight="1">
      <c r="A14" s="478"/>
      <c r="B14" s="479"/>
      <c r="C14" s="111"/>
      <c r="D14" s="112"/>
      <c r="E14" s="112"/>
      <c r="F14" s="112"/>
      <c r="G14" s="112"/>
      <c r="H14" s="113"/>
    </row>
    <row r="15" spans="1:8" ht="24" customHeight="1">
      <c r="A15" s="478"/>
      <c r="B15" s="479"/>
      <c r="C15" s="486" t="s">
        <v>144</v>
      </c>
      <c r="D15" s="487"/>
      <c r="E15" s="487"/>
      <c r="F15" s="487"/>
      <c r="G15" s="487"/>
      <c r="H15" s="488"/>
    </row>
    <row r="16" spans="1:8" ht="24" customHeight="1">
      <c r="A16" s="478"/>
      <c r="B16" s="479"/>
      <c r="C16" s="486"/>
      <c r="D16" s="487"/>
      <c r="E16" s="487"/>
      <c r="F16" s="487"/>
      <c r="G16" s="487"/>
      <c r="H16" s="488"/>
    </row>
    <row r="17" spans="1:8" ht="24" customHeight="1">
      <c r="A17" s="478"/>
      <c r="B17" s="479"/>
      <c r="C17" s="114"/>
      <c r="D17" s="115"/>
      <c r="E17" s="115"/>
      <c r="F17" s="115"/>
      <c r="G17" s="115"/>
      <c r="H17" s="116"/>
    </row>
    <row r="18" spans="1:8" ht="24" customHeight="1">
      <c r="A18" s="474" t="s">
        <v>30</v>
      </c>
      <c r="B18" s="475"/>
      <c r="C18" s="501" t="s">
        <v>150</v>
      </c>
      <c r="D18" s="502"/>
      <c r="E18" s="502"/>
      <c r="F18" s="502"/>
      <c r="G18" s="502"/>
      <c r="H18" s="503"/>
    </row>
    <row r="19" spans="1:8" ht="24" customHeight="1">
      <c r="A19" s="476"/>
      <c r="B19" s="477"/>
      <c r="C19" s="117"/>
      <c r="D19" s="107"/>
      <c r="E19" s="107"/>
      <c r="F19" s="107"/>
      <c r="G19" s="107"/>
      <c r="H19" s="108"/>
    </row>
    <row r="20" spans="1:8" ht="24" customHeight="1">
      <c r="A20" s="476"/>
      <c r="B20" s="477"/>
      <c r="C20" s="457" t="s">
        <v>145</v>
      </c>
      <c r="D20" s="458"/>
      <c r="E20" s="458"/>
      <c r="F20" s="458"/>
      <c r="G20" s="458"/>
      <c r="H20" s="459"/>
    </row>
    <row r="21" spans="1:8" ht="24" customHeight="1">
      <c r="A21" s="476"/>
      <c r="B21" s="477"/>
      <c r="C21" s="457"/>
      <c r="D21" s="458"/>
      <c r="E21" s="458"/>
      <c r="F21" s="458"/>
      <c r="G21" s="458"/>
      <c r="H21" s="459"/>
    </row>
    <row r="22" spans="1:8" ht="24" customHeight="1">
      <c r="A22" s="476"/>
      <c r="B22" s="477"/>
      <c r="C22" s="118"/>
      <c r="D22" s="119"/>
      <c r="E22" s="119"/>
      <c r="F22" s="119"/>
      <c r="G22" s="119"/>
      <c r="H22" s="120"/>
    </row>
    <row r="23" spans="1:8" ht="24" customHeight="1">
      <c r="A23" s="476"/>
      <c r="B23" s="477"/>
      <c r="C23" s="457" t="s">
        <v>149</v>
      </c>
      <c r="D23" s="458"/>
      <c r="E23" s="458"/>
      <c r="F23" s="458"/>
      <c r="G23" s="458"/>
      <c r="H23" s="459"/>
    </row>
    <row r="24" spans="1:8" ht="24" customHeight="1">
      <c r="A24" s="476"/>
      <c r="B24" s="477"/>
      <c r="C24" s="457"/>
      <c r="D24" s="458"/>
      <c r="E24" s="458"/>
      <c r="F24" s="458"/>
      <c r="G24" s="458"/>
      <c r="H24" s="459"/>
    </row>
    <row r="25" spans="1:8" ht="24" customHeight="1">
      <c r="A25" s="476"/>
      <c r="B25" s="477"/>
      <c r="C25" s="457"/>
      <c r="D25" s="458"/>
      <c r="E25" s="458"/>
      <c r="F25" s="458"/>
      <c r="G25" s="458"/>
      <c r="H25" s="459"/>
    </row>
    <row r="26" spans="1:8" ht="24" customHeight="1">
      <c r="A26" s="476"/>
      <c r="B26" s="477"/>
      <c r="C26" s="118"/>
      <c r="D26" s="119"/>
      <c r="E26" s="119"/>
      <c r="F26" s="119"/>
      <c r="G26" s="119"/>
      <c r="H26" s="120"/>
    </row>
    <row r="27" spans="1:8" ht="24" customHeight="1">
      <c r="A27" s="476"/>
      <c r="B27" s="477"/>
      <c r="C27" s="457" t="s">
        <v>154</v>
      </c>
      <c r="D27" s="458"/>
      <c r="E27" s="458"/>
      <c r="F27" s="458"/>
      <c r="G27" s="458"/>
      <c r="H27" s="459"/>
    </row>
    <row r="28" spans="1:8" ht="24" customHeight="1">
      <c r="A28" s="476"/>
      <c r="B28" s="477"/>
      <c r="C28" s="457"/>
      <c r="D28" s="458"/>
      <c r="E28" s="458"/>
      <c r="F28" s="458"/>
      <c r="G28" s="458"/>
      <c r="H28" s="459"/>
    </row>
    <row r="29" spans="1:8" ht="24" customHeight="1">
      <c r="A29" s="476"/>
      <c r="B29" s="477"/>
      <c r="C29" s="106"/>
      <c r="D29" s="107"/>
      <c r="E29" s="107"/>
      <c r="F29" s="107"/>
      <c r="G29" s="107"/>
      <c r="H29" s="108"/>
    </row>
    <row r="30" spans="1:8" ht="24" customHeight="1">
      <c r="A30" s="476"/>
      <c r="B30" s="477"/>
      <c r="C30" s="457" t="s">
        <v>155</v>
      </c>
      <c r="D30" s="458"/>
      <c r="E30" s="458"/>
      <c r="F30" s="458"/>
      <c r="G30" s="458"/>
      <c r="H30" s="459"/>
    </row>
    <row r="31" spans="1:8" ht="24" customHeight="1">
      <c r="A31" s="476"/>
      <c r="B31" s="477"/>
      <c r="C31" s="457"/>
      <c r="D31" s="458"/>
      <c r="E31" s="458"/>
      <c r="F31" s="458"/>
      <c r="G31" s="458"/>
      <c r="H31" s="459"/>
    </row>
    <row r="32" spans="1:8" ht="24" customHeight="1">
      <c r="A32" s="476"/>
      <c r="B32" s="477"/>
      <c r="C32" s="106"/>
      <c r="D32" s="107"/>
      <c r="E32" s="107"/>
      <c r="F32" s="107"/>
      <c r="G32" s="107"/>
      <c r="H32" s="108"/>
    </row>
    <row r="33" spans="1:8" ht="24" customHeight="1">
      <c r="A33" s="476"/>
      <c r="B33" s="477"/>
      <c r="C33" s="457" t="s">
        <v>156</v>
      </c>
      <c r="D33" s="458"/>
      <c r="E33" s="458"/>
      <c r="F33" s="458"/>
      <c r="G33" s="458"/>
      <c r="H33" s="459"/>
    </row>
    <row r="34" spans="1:8" ht="24" customHeight="1">
      <c r="A34" s="476"/>
      <c r="B34" s="477"/>
      <c r="C34" s="457"/>
      <c r="D34" s="458"/>
      <c r="E34" s="458"/>
      <c r="F34" s="458"/>
      <c r="G34" s="458"/>
      <c r="H34" s="459"/>
    </row>
    <row r="35" spans="1:8" ht="24" customHeight="1">
      <c r="A35" s="476"/>
      <c r="B35" s="477"/>
      <c r="C35" s="457"/>
      <c r="D35" s="458"/>
      <c r="E35" s="458"/>
      <c r="F35" s="458"/>
      <c r="G35" s="458"/>
      <c r="H35" s="459"/>
    </row>
    <row r="36" spans="1:8" ht="24" customHeight="1">
      <c r="A36" s="476"/>
      <c r="B36" s="477"/>
      <c r="C36" s="106"/>
      <c r="D36" s="107"/>
      <c r="E36" s="107"/>
      <c r="F36" s="107"/>
      <c r="G36" s="107"/>
      <c r="H36" s="108"/>
    </row>
    <row r="37" spans="1:8" ht="24" customHeight="1">
      <c r="A37" s="476"/>
      <c r="B37" s="477"/>
      <c r="C37" s="457" t="s">
        <v>183</v>
      </c>
      <c r="D37" s="458"/>
      <c r="E37" s="458"/>
      <c r="F37" s="458"/>
      <c r="G37" s="458"/>
      <c r="H37" s="459"/>
    </row>
    <row r="38" spans="1:8" ht="32.25" customHeight="1">
      <c r="A38" s="476"/>
      <c r="B38" s="477"/>
      <c r="C38" s="457"/>
      <c r="D38" s="458"/>
      <c r="E38" s="458"/>
      <c r="F38" s="458"/>
      <c r="G38" s="458"/>
      <c r="H38" s="459"/>
    </row>
    <row r="39" spans="1:8" ht="24" customHeight="1">
      <c r="A39" s="476"/>
      <c r="B39" s="477"/>
      <c r="C39" s="77"/>
      <c r="D39" s="78"/>
      <c r="E39" s="78"/>
      <c r="F39" s="78"/>
      <c r="G39" s="78"/>
      <c r="H39" s="79"/>
    </row>
    <row r="40" spans="1:8" ht="24" customHeight="1">
      <c r="A40" s="468" t="s">
        <v>62</v>
      </c>
      <c r="B40" s="469"/>
      <c r="C40" s="495" t="s">
        <v>157</v>
      </c>
      <c r="D40" s="496"/>
      <c r="E40" s="496"/>
      <c r="F40" s="496"/>
      <c r="G40" s="496"/>
      <c r="H40" s="497"/>
    </row>
    <row r="41" spans="1:8" ht="24" customHeight="1">
      <c r="A41" s="470"/>
      <c r="B41" s="471"/>
      <c r="C41" s="498"/>
      <c r="D41" s="499"/>
      <c r="E41" s="499"/>
      <c r="F41" s="499"/>
      <c r="G41" s="499"/>
      <c r="H41" s="500"/>
    </row>
    <row r="42" spans="1:8" ht="24" customHeight="1">
      <c r="A42" s="470"/>
      <c r="B42" s="471"/>
      <c r="C42" s="121"/>
      <c r="D42" s="122"/>
      <c r="E42" s="122"/>
      <c r="F42" s="122"/>
      <c r="G42" s="122"/>
      <c r="H42" s="123"/>
    </row>
    <row r="43" spans="1:8" ht="24" customHeight="1">
      <c r="A43" s="470"/>
      <c r="B43" s="471"/>
      <c r="C43" s="121"/>
      <c r="D43" s="122"/>
      <c r="E43" s="122"/>
      <c r="F43" s="122"/>
      <c r="G43" s="122"/>
      <c r="H43" s="123"/>
    </row>
    <row r="44" spans="1:8" ht="24" customHeight="1">
      <c r="A44" s="470"/>
      <c r="B44" s="471"/>
      <c r="C44" s="121"/>
      <c r="D44" s="122"/>
      <c r="E44" s="122"/>
      <c r="F44" s="122"/>
      <c r="G44" s="122"/>
      <c r="H44" s="123"/>
    </row>
    <row r="45" spans="1:8" ht="18.75" customHeight="1">
      <c r="A45" s="472"/>
      <c r="B45" s="473"/>
      <c r="C45" s="124"/>
      <c r="D45" s="125"/>
      <c r="E45" s="125"/>
      <c r="F45" s="125"/>
      <c r="G45" s="125"/>
      <c r="H45" s="126"/>
    </row>
    <row r="46" spans="1:8" ht="24" customHeight="1">
      <c r="A46" s="464" t="s">
        <v>140</v>
      </c>
      <c r="B46" s="465"/>
      <c r="C46" s="489" t="s">
        <v>158</v>
      </c>
      <c r="D46" s="490"/>
      <c r="E46" s="490"/>
      <c r="F46" s="490"/>
      <c r="G46" s="490"/>
      <c r="H46" s="491"/>
    </row>
    <row r="47" spans="1:8" ht="24" customHeight="1">
      <c r="A47" s="466"/>
      <c r="B47" s="467"/>
      <c r="C47" s="492"/>
      <c r="D47" s="493"/>
      <c r="E47" s="493"/>
      <c r="F47" s="493"/>
      <c r="G47" s="493"/>
      <c r="H47" s="494"/>
    </row>
    <row r="48" spans="1:8" ht="24" customHeight="1">
      <c r="A48" s="466"/>
      <c r="B48" s="467"/>
      <c r="C48" s="492"/>
      <c r="D48" s="493"/>
      <c r="E48" s="493"/>
      <c r="F48" s="493"/>
      <c r="G48" s="493"/>
      <c r="H48" s="494"/>
    </row>
    <row r="49" spans="1:8" ht="24" customHeight="1">
      <c r="A49" s="466"/>
      <c r="B49" s="467"/>
      <c r="C49" s="127"/>
      <c r="D49" s="128"/>
      <c r="E49" s="128"/>
      <c r="F49" s="128"/>
      <c r="G49" s="128"/>
      <c r="H49" s="129"/>
    </row>
    <row r="50" spans="1:8" ht="24" customHeight="1">
      <c r="A50" s="466"/>
      <c r="B50" s="467"/>
      <c r="C50" s="480" t="s">
        <v>153</v>
      </c>
      <c r="D50" s="481"/>
      <c r="E50" s="481"/>
      <c r="F50" s="481"/>
      <c r="G50" s="481"/>
      <c r="H50" s="482"/>
    </row>
    <row r="51" spans="1:8" ht="24" customHeight="1">
      <c r="A51" s="466"/>
      <c r="B51" s="467"/>
      <c r="C51" s="480"/>
      <c r="D51" s="481"/>
      <c r="E51" s="481"/>
      <c r="F51" s="481"/>
      <c r="G51" s="481"/>
      <c r="H51" s="482"/>
    </row>
    <row r="52" spans="1:8" ht="24" customHeight="1">
      <c r="A52" s="466"/>
      <c r="B52" s="467"/>
      <c r="C52" s="130"/>
      <c r="D52" s="131"/>
      <c r="E52" s="131"/>
      <c r="F52" s="131"/>
      <c r="G52" s="131"/>
      <c r="H52" s="132"/>
    </row>
  </sheetData>
  <mergeCells count="21">
    <mergeCell ref="C27:H28"/>
    <mergeCell ref="C20:H21"/>
    <mergeCell ref="C18:H18"/>
    <mergeCell ref="C30:H31"/>
    <mergeCell ref="C33:H35"/>
    <mergeCell ref="C37:H38"/>
    <mergeCell ref="A2:B3"/>
    <mergeCell ref="A46:B52"/>
    <mergeCell ref="A40:B45"/>
    <mergeCell ref="A18:B39"/>
    <mergeCell ref="A4:B17"/>
    <mergeCell ref="C50:H51"/>
    <mergeCell ref="C2:H2"/>
    <mergeCell ref="C3:H3"/>
    <mergeCell ref="C4:H5"/>
    <mergeCell ref="C7:H8"/>
    <mergeCell ref="C10:H13"/>
    <mergeCell ref="C15:H16"/>
    <mergeCell ref="C46:H48"/>
    <mergeCell ref="C23:H25"/>
    <mergeCell ref="C40:H4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AQ119"/>
  <sheetViews>
    <sheetView topLeftCell="E53" zoomScale="85" zoomScaleNormal="85" workbookViewId="0">
      <selection activeCell="E67" sqref="E67:X67"/>
    </sheetView>
  </sheetViews>
  <sheetFormatPr defaultRowHeight="15"/>
  <cols>
    <col min="1" max="1" width="33.42578125" bestFit="1" customWidth="1"/>
    <col min="2" max="2" width="21.85546875" bestFit="1" customWidth="1"/>
    <col min="3" max="3" width="23.85546875" bestFit="1" customWidth="1"/>
    <col min="4" max="4" width="10" customWidth="1"/>
    <col min="5" max="5" width="50.85546875" bestFit="1" customWidth="1"/>
    <col min="6" max="6" width="21.85546875" bestFit="1" customWidth="1"/>
    <col min="7" max="7" width="13.28515625" bestFit="1" customWidth="1"/>
    <col min="8" max="8" width="10.85546875" bestFit="1" customWidth="1"/>
    <col min="9" max="9" width="19.5703125" bestFit="1" customWidth="1"/>
    <col min="10" max="10" width="19" bestFit="1" customWidth="1"/>
    <col min="11" max="11" width="15.7109375" bestFit="1" customWidth="1"/>
    <col min="12" max="12" width="17" bestFit="1" customWidth="1"/>
    <col min="13" max="13" width="10" bestFit="1" customWidth="1"/>
    <col min="14" max="14" width="35.140625" bestFit="1" customWidth="1"/>
    <col min="15" max="15" width="23" bestFit="1" customWidth="1"/>
    <col min="16" max="16" width="37.140625" bestFit="1" customWidth="1"/>
    <col min="17" max="17" width="46.5703125" bestFit="1" customWidth="1"/>
    <col min="18" max="18" width="15.42578125" bestFit="1" customWidth="1"/>
    <col min="19" max="19" width="15.5703125" bestFit="1" customWidth="1"/>
    <col min="20" max="20" width="12.5703125" bestFit="1" customWidth="1"/>
    <col min="21" max="21" width="14.140625" bestFit="1" customWidth="1"/>
    <col min="22" max="22" width="10.85546875" bestFit="1" customWidth="1"/>
    <col min="23" max="23" width="12.5703125" bestFit="1" customWidth="1"/>
    <col min="24" max="42" width="10.85546875" bestFit="1" customWidth="1"/>
  </cols>
  <sheetData>
    <row r="2" spans="1:29">
      <c r="A2" s="512" t="s">
        <v>163</v>
      </c>
      <c r="B2" s="513"/>
      <c r="C2" s="514"/>
      <c r="E2" s="509" t="s">
        <v>32</v>
      </c>
      <c r="F2" s="510"/>
      <c r="G2" s="510"/>
      <c r="H2" s="510"/>
      <c r="I2" s="510"/>
      <c r="J2" s="510"/>
      <c r="K2" s="510"/>
      <c r="L2" s="511"/>
      <c r="N2" s="519" t="s">
        <v>34</v>
      </c>
      <c r="O2" s="520"/>
      <c r="P2" s="520"/>
      <c r="Q2" s="520"/>
      <c r="R2" s="520"/>
      <c r="S2" s="520"/>
      <c r="T2" s="520"/>
      <c r="U2" s="520"/>
      <c r="V2" s="520"/>
      <c r="W2" s="521"/>
    </row>
    <row r="3" spans="1:29" ht="15.75">
      <c r="A3" s="27" t="s">
        <v>10</v>
      </c>
      <c r="B3" s="28" t="s">
        <v>8</v>
      </c>
      <c r="C3" s="28" t="s">
        <v>9</v>
      </c>
      <c r="E3" s="39" t="s">
        <v>31</v>
      </c>
      <c r="F3" s="39" t="s">
        <v>168</v>
      </c>
      <c r="G3" s="39" t="s">
        <v>169</v>
      </c>
      <c r="H3" s="39" t="s">
        <v>170</v>
      </c>
      <c r="I3" s="39" t="s">
        <v>12</v>
      </c>
      <c r="J3" s="39" t="s">
        <v>126</v>
      </c>
      <c r="K3" s="39" t="s">
        <v>127</v>
      </c>
      <c r="L3" s="40" t="s">
        <v>73</v>
      </c>
      <c r="M3" s="36"/>
      <c r="N3" s="37" t="s">
        <v>31</v>
      </c>
      <c r="O3" s="37" t="s">
        <v>13</v>
      </c>
      <c r="P3" s="37" t="s">
        <v>14</v>
      </c>
      <c r="Q3" s="37" t="s">
        <v>15</v>
      </c>
      <c r="R3" s="37" t="s">
        <v>16</v>
      </c>
      <c r="S3" s="37" t="s">
        <v>17</v>
      </c>
      <c r="T3" s="37" t="s">
        <v>18</v>
      </c>
      <c r="U3" s="37" t="s">
        <v>19</v>
      </c>
      <c r="V3" s="37" t="s">
        <v>20</v>
      </c>
      <c r="W3" s="37" t="s">
        <v>11</v>
      </c>
    </row>
    <row r="4" spans="1:29" ht="15.75">
      <c r="A4" s="29">
        <v>1</v>
      </c>
      <c r="B4" s="30">
        <v>51.948762233736332</v>
      </c>
      <c r="C4" s="31">
        <v>0</v>
      </c>
      <c r="E4" s="39">
        <v>2017</v>
      </c>
      <c r="F4" s="70">
        <f ca="1">G4</f>
        <v>206994.07930631476</v>
      </c>
      <c r="G4" s="70">
        <f ca="1">IF(L4&lt;=VLOOKUP(Form!O$29,A$41:B$51,2,FALSE),(VLOOKUP(Form!O$26-(VLOOKUP(Form!O$30,A$36:B$38,2,FALSE)),A$4:C$27,3,FALSE)*Form!O$25),F$45*Form!O$25)</f>
        <v>206994.07930631476</v>
      </c>
      <c r="H4" s="71">
        <f t="shared" ref="H4:H43" si="0">W4</f>
        <v>0</v>
      </c>
      <c r="I4" s="71">
        <f t="shared" ref="I4:I43" ca="1" si="1">F4+H4</f>
        <v>206994.07930631476</v>
      </c>
      <c r="J4" s="252">
        <f ca="1">K4</f>
        <v>155514.16174918445</v>
      </c>
      <c r="K4" s="41">
        <f ca="1">IF(L4&lt;=VLOOKUP(Form!O$29,A$41:B$51,2,FALSE),(VLOOKUP(Form!O$26-(VLOOKUP(Form!O$30,A$36:B$38,2,FALSE)),A$4:C$27,2,FALSE)*Form!O$25),F$46*Form!O$25)</f>
        <v>155514.16174918445</v>
      </c>
      <c r="L4" s="76">
        <f t="shared" ref="L4:L22" ca="1" si="2">RAND()</f>
        <v>0.56395392066035532</v>
      </c>
      <c r="M4" s="9"/>
      <c r="N4" s="39">
        <v>2017</v>
      </c>
      <c r="O4" s="37">
        <f>Form!O$43</f>
        <v>2</v>
      </c>
      <c r="P4" s="37">
        <v>2</v>
      </c>
      <c r="Q4" s="37">
        <f>P$4*O$47*O$46*Form!O$50</f>
        <v>7884</v>
      </c>
      <c r="R4" s="37">
        <f t="shared" ref="R4:R43" si="3">Q$4*O$4</f>
        <v>15768</v>
      </c>
      <c r="S4" s="44">
        <f>Form!O$51</f>
        <v>3.85E-2</v>
      </c>
      <c r="T4" s="45">
        <v>0</v>
      </c>
      <c r="U4" s="41">
        <v>0</v>
      </c>
      <c r="V4" s="45">
        <v>0</v>
      </c>
      <c r="W4" s="46">
        <v>0</v>
      </c>
      <c r="X4" s="4"/>
      <c r="Y4" s="4"/>
      <c r="Z4" s="4"/>
      <c r="AA4" s="73"/>
      <c r="AB4" s="4"/>
      <c r="AC4" s="4"/>
    </row>
    <row r="5" spans="1:29" ht="15.75">
      <c r="A5" s="29">
        <v>2</v>
      </c>
      <c r="B5" s="30">
        <v>67.293220870914098</v>
      </c>
      <c r="C5" s="32">
        <v>28.3983801887866</v>
      </c>
      <c r="E5" s="39">
        <f t="shared" ref="E5:E43" si="4">E4+1</f>
        <v>2018</v>
      </c>
      <c r="F5" s="70">
        <f ca="1">G5</f>
        <v>206994.07930631476</v>
      </c>
      <c r="G5" s="70">
        <f ca="1">IF(L5&lt;=VLOOKUP(Form!O$29,A$41:B$51,2,FALSE),(VLOOKUP(Form!O$26-(VLOOKUP(Form!O$30,A$36:B$38,2,FALSE)),A$4:C$27,3,FALSE)*Form!O$25),F$45*Form!O$25)</f>
        <v>206994.07930631476</v>
      </c>
      <c r="H5" s="71">
        <f t="shared" si="0"/>
        <v>0</v>
      </c>
      <c r="I5" s="71">
        <f t="shared" ca="1" si="1"/>
        <v>206994.07930631476</v>
      </c>
      <c r="J5" s="252">
        <f ca="1">K5</f>
        <v>155514.16174918445</v>
      </c>
      <c r="K5" s="41">
        <f ca="1">IF(L5&lt;=VLOOKUP(Form!O$29,A$41:B$51,2,FALSE),(VLOOKUP(Form!O$26-(VLOOKUP(Form!O$30,A$36:B$38,2,FALSE)),A$4:C$27,2,FALSE)*Form!O$25),F$46*Form!O$25)</f>
        <v>155514.16174918445</v>
      </c>
      <c r="L5" s="76">
        <f t="shared" ca="1" si="2"/>
        <v>0.46019927718119469</v>
      </c>
      <c r="M5" s="24"/>
      <c r="N5" s="39">
        <f t="shared" ref="N5:N43" si="5">N4+1</f>
        <v>2018</v>
      </c>
      <c r="O5" s="37">
        <f>Form!O$43</f>
        <v>2</v>
      </c>
      <c r="P5" s="37">
        <v>2</v>
      </c>
      <c r="Q5" s="37">
        <f>P$4*O$47*O$46*Form!O$50</f>
        <v>7884</v>
      </c>
      <c r="R5" s="37">
        <f t="shared" si="3"/>
        <v>15768</v>
      </c>
      <c r="S5" s="44">
        <f>Form!O$51</f>
        <v>3.85E-2</v>
      </c>
      <c r="T5" s="45">
        <v>0</v>
      </c>
      <c r="U5" s="41">
        <v>0</v>
      </c>
      <c r="V5" s="45">
        <v>0</v>
      </c>
      <c r="W5" s="46">
        <v>0</v>
      </c>
      <c r="Y5" s="24"/>
      <c r="Z5" s="4"/>
      <c r="AA5" s="4"/>
      <c r="AB5" s="4"/>
      <c r="AC5" s="4"/>
    </row>
    <row r="6" spans="1:29" ht="15.75">
      <c r="A6" s="29">
        <v>3</v>
      </c>
      <c r="B6" s="30">
        <v>81.984723821403449</v>
      </c>
      <c r="C6" s="32">
        <v>55.460659092943999</v>
      </c>
      <c r="E6" s="39">
        <f t="shared" si="4"/>
        <v>2019</v>
      </c>
      <c r="F6" s="70">
        <f ca="1">G6</f>
        <v>206994.07930631476</v>
      </c>
      <c r="G6" s="70">
        <f ca="1">IF(L6&lt;=VLOOKUP(Form!O$29,A$41:B$51,2,FALSE),(VLOOKUP(Form!O$26-(VLOOKUP(Form!O$30,A$36:B$38,2,FALSE)),A$4:C$27,3,FALSE)*Form!O$25),F$45*Form!O$25)</f>
        <v>206994.07930631476</v>
      </c>
      <c r="H6" s="71">
        <f t="shared" si="0"/>
        <v>30516.360151201952</v>
      </c>
      <c r="I6" s="71">
        <f t="shared" ca="1" si="1"/>
        <v>237510.43945751671</v>
      </c>
      <c r="J6" s="252">
        <f ca="1">K6</f>
        <v>155514.16174918445</v>
      </c>
      <c r="K6" s="41">
        <f ca="1">IF(L6&lt;=VLOOKUP(Form!O$29,A$41:B$51,2,FALSE),(VLOOKUP(Form!O$26-(VLOOKUP(Form!O$30,A$36:B$38,2,FALSE)),A$4:C$27,2,FALSE)*Form!O$25),F$46*Form!O$25)</f>
        <v>155514.16174918445</v>
      </c>
      <c r="L6" s="76">
        <f t="shared" ca="1" si="2"/>
        <v>7.2803253978745319E-2</v>
      </c>
      <c r="M6" s="24"/>
      <c r="N6" s="39">
        <f t="shared" si="5"/>
        <v>2019</v>
      </c>
      <c r="O6" s="37">
        <f>Form!O$43</f>
        <v>2</v>
      </c>
      <c r="P6" s="37">
        <v>2</v>
      </c>
      <c r="Q6" s="37">
        <f>P$4*O$47*O$46*Form!O$50</f>
        <v>7884</v>
      </c>
      <c r="R6" s="37">
        <f t="shared" si="3"/>
        <v>15768</v>
      </c>
      <c r="S6" s="44">
        <f>Form!O$51</f>
        <v>3.85E-2</v>
      </c>
      <c r="T6" s="45">
        <f t="shared" ref="T6:T43" si="6">R$4*S$4*1000</f>
        <v>607068</v>
      </c>
      <c r="U6" s="41">
        <f>IF(Form!O$52&gt;=X6,Q$57,0)</f>
        <v>452551.63984879805</v>
      </c>
      <c r="V6" s="45">
        <f t="shared" ref="V6:V25" si="7">O$4*P$4*O$49</f>
        <v>124000</v>
      </c>
      <c r="W6" s="46">
        <f t="shared" ref="W6:W22" si="8">T6-U6-V6</f>
        <v>30516.360151201952</v>
      </c>
      <c r="X6">
        <v>1</v>
      </c>
      <c r="Y6" s="24"/>
      <c r="Z6" s="4"/>
      <c r="AA6" s="4"/>
      <c r="AB6" s="4"/>
      <c r="AC6" s="4"/>
    </row>
    <row r="7" spans="1:29" ht="15.75">
      <c r="A7" s="29">
        <v>4</v>
      </c>
      <c r="B7" s="30">
        <v>96.023271085204385</v>
      </c>
      <c r="C7" s="32">
        <v>81.1868367124721</v>
      </c>
      <c r="E7" s="39">
        <f t="shared" si="4"/>
        <v>2020</v>
      </c>
      <c r="F7" s="70">
        <f ca="1">G7</f>
        <v>206994.07930631476</v>
      </c>
      <c r="G7" s="70">
        <f ca="1">IF(L7&lt;=VLOOKUP(Form!O$29,A$41:B$51,2,FALSE),(VLOOKUP(Form!O$26-(VLOOKUP(Form!O$30,A$36:B$38,2,FALSE)),A$4:C$27,3,FALSE)*Form!O$25),F$45*Form!O$25)</f>
        <v>206994.07930631476</v>
      </c>
      <c r="H7" s="71">
        <f t="shared" si="0"/>
        <v>30516.360151201952</v>
      </c>
      <c r="I7" s="71">
        <f t="shared" ca="1" si="1"/>
        <v>237510.43945751671</v>
      </c>
      <c r="J7" s="252">
        <f ca="1">K7</f>
        <v>155514.16174918445</v>
      </c>
      <c r="K7" s="41">
        <f ca="1">IF(L7&lt;=VLOOKUP(Form!O$29,A$41:B$51,2,FALSE),(VLOOKUP(Form!O$26-(VLOOKUP(Form!O$30,A$36:B$38,2,FALSE)),A$4:C$27,2,FALSE)*Form!O$25),F$46*Form!O$25)</f>
        <v>155514.16174918445</v>
      </c>
      <c r="L7" s="76">
        <f t="shared" ca="1" si="2"/>
        <v>0.24412245528135879</v>
      </c>
      <c r="M7" s="25"/>
      <c r="N7" s="39">
        <f t="shared" si="5"/>
        <v>2020</v>
      </c>
      <c r="O7" s="37">
        <f>Form!O$43</f>
        <v>2</v>
      </c>
      <c r="P7" s="37">
        <v>2</v>
      </c>
      <c r="Q7" s="37">
        <f>P$4*O$47*O$46*Form!O$50</f>
        <v>7884</v>
      </c>
      <c r="R7" s="37">
        <f t="shared" si="3"/>
        <v>15768</v>
      </c>
      <c r="S7" s="44">
        <f>Form!O$51</f>
        <v>3.85E-2</v>
      </c>
      <c r="T7" s="45">
        <f t="shared" si="6"/>
        <v>607068</v>
      </c>
      <c r="U7" s="41">
        <f>IF(Form!O$52&gt;=X7,Q$57,0)</f>
        <v>452551.63984879805</v>
      </c>
      <c r="V7" s="45">
        <f t="shared" si="7"/>
        <v>124000</v>
      </c>
      <c r="W7" s="46">
        <f t="shared" si="8"/>
        <v>30516.360151201952</v>
      </c>
      <c r="X7">
        <f>X6+1</f>
        <v>2</v>
      </c>
      <c r="Y7" s="24"/>
      <c r="Z7" s="4"/>
      <c r="AA7" s="4"/>
      <c r="AB7" s="4"/>
      <c r="AC7" s="4"/>
    </row>
    <row r="8" spans="1:29" ht="15.75">
      <c r="A8" s="29">
        <v>5</v>
      </c>
      <c r="B8" s="30">
        <v>109.40886266231691</v>
      </c>
      <c r="C8" s="32">
        <v>105.57691304737099</v>
      </c>
      <c r="E8" s="39">
        <f t="shared" si="4"/>
        <v>2021</v>
      </c>
      <c r="F8" s="70">
        <f ca="1">G8</f>
        <v>206994.07930631476</v>
      </c>
      <c r="G8" s="70">
        <f ca="1">IF(L8&lt;=VLOOKUP(Form!O$29,A$41:B$51,2,FALSE),(VLOOKUP(Form!O$26-(VLOOKUP(Form!O$30,A$36:B$38,2,FALSE)),A$4:C$27,3,FALSE)*Form!O$25),F$45*Form!O$25)</f>
        <v>206994.07930631476</v>
      </c>
      <c r="H8" s="71">
        <f t="shared" si="0"/>
        <v>30516.360151201952</v>
      </c>
      <c r="I8" s="71">
        <f t="shared" ca="1" si="1"/>
        <v>237510.43945751671</v>
      </c>
      <c r="J8" s="252">
        <f ca="1">K8</f>
        <v>155514.16174918445</v>
      </c>
      <c r="K8" s="41">
        <f ca="1">IF(L8&lt;=VLOOKUP(Form!O$29,A$41:B$51,2,FALSE),(VLOOKUP(Form!O$26-(VLOOKUP(Form!O$30,A$36:B$38,2,FALSE)),A$4:C$27,2,FALSE)*Form!O$25),F$46*Form!O$25)</f>
        <v>155514.16174918445</v>
      </c>
      <c r="L8" s="76">
        <f t="shared" ca="1" si="2"/>
        <v>0.47047547927269318</v>
      </c>
      <c r="M8" s="25"/>
      <c r="N8" s="39">
        <f t="shared" si="5"/>
        <v>2021</v>
      </c>
      <c r="O8" s="37">
        <f>Form!O$43</f>
        <v>2</v>
      </c>
      <c r="P8" s="37">
        <v>2</v>
      </c>
      <c r="Q8" s="37">
        <f>P$4*O$47*O$46*Form!O$50</f>
        <v>7884</v>
      </c>
      <c r="R8" s="37">
        <f t="shared" si="3"/>
        <v>15768</v>
      </c>
      <c r="S8" s="44">
        <f>Form!O$51</f>
        <v>3.85E-2</v>
      </c>
      <c r="T8" s="45">
        <f t="shared" si="6"/>
        <v>607068</v>
      </c>
      <c r="U8" s="41">
        <f>IF(Form!O$52&gt;=X8,Q$57,0)</f>
        <v>452551.63984879805</v>
      </c>
      <c r="V8" s="45">
        <f t="shared" si="7"/>
        <v>124000</v>
      </c>
      <c r="W8" s="46">
        <f t="shared" si="8"/>
        <v>30516.360151201952</v>
      </c>
      <c r="X8">
        <f t="shared" ref="X8:X44" si="9">X7+1</f>
        <v>3</v>
      </c>
      <c r="Y8" s="24"/>
      <c r="Z8" s="4"/>
      <c r="AA8" s="4"/>
      <c r="AB8" s="4"/>
      <c r="AC8" s="43"/>
    </row>
    <row r="9" spans="1:29" ht="15.75">
      <c r="A9" s="29">
        <v>6</v>
      </c>
      <c r="B9" s="30">
        <v>122.14149855274101</v>
      </c>
      <c r="C9" s="32">
        <v>128.63088809764099</v>
      </c>
      <c r="E9" s="39">
        <f t="shared" si="4"/>
        <v>2022</v>
      </c>
      <c r="F9" s="70">
        <f ca="1">IF(L9&lt;=VLOOKUP(Form!O$29,A$41:B$51,2,FALSE),(VLOOKUP(F$48-(VLOOKUP(Form!O$30,A$36:B$38,2,FALSE)),A$4:C$27,3,FALSE)*Form!O$25),F$49*Form!O$25)</f>
        <v>179172.45856653451</v>
      </c>
      <c r="G9" s="70">
        <f ca="1">IF(L9&lt;=VLOOKUP(Form!O$29,A$41:B$51,2,FALSE),(VLOOKUP(Form!O$26-(VLOOKUP(Form!O$30,A$36:B$38,2,FALSE)),A$4:C$27,3,FALSE)*Form!O$25),F$45*Form!O$25)</f>
        <v>206994.07930631476</v>
      </c>
      <c r="H9" s="71">
        <f t="shared" si="0"/>
        <v>30516.360151201952</v>
      </c>
      <c r="I9" s="71">
        <f t="shared" ca="1" si="1"/>
        <v>209688.81871773646</v>
      </c>
      <c r="J9" s="41">
        <f ca="1">IF(L9&lt;=VLOOKUP(Form!O$29,A$41:B$51,2,FALSE),(VLOOKUP(F$48-(VLOOKUP(Form!O$30,A$36:B$38,2,FALSE)),A$4:C$27,2,FALSE)*Form!O$25),F$50*Form!O$25)</f>
        <v>138618.93335612168</v>
      </c>
      <c r="K9" s="41">
        <f ca="1">IF(L9&lt;=VLOOKUP(Form!O$29,A$41:B$51,2,FALSE),(VLOOKUP(Form!O$26-(VLOOKUP(Form!O$30,A$36:B$38,2,FALSE)),A$4:C$27,2,FALSE)*Form!O$25),F$46*Form!O$25)</f>
        <v>155514.16174918445</v>
      </c>
      <c r="L9" s="76">
        <f t="shared" ca="1" si="2"/>
        <v>3.981619450814966E-2</v>
      </c>
      <c r="M9" s="25"/>
      <c r="N9" s="39">
        <f t="shared" si="5"/>
        <v>2022</v>
      </c>
      <c r="O9" s="37">
        <f>Form!O$43</f>
        <v>2</v>
      </c>
      <c r="P9" s="37">
        <v>2</v>
      </c>
      <c r="Q9" s="37">
        <f>P$4*O$47*O$46*Form!O$50</f>
        <v>7884</v>
      </c>
      <c r="R9" s="37">
        <f t="shared" si="3"/>
        <v>15768</v>
      </c>
      <c r="S9" s="44">
        <f>Form!O$51</f>
        <v>3.85E-2</v>
      </c>
      <c r="T9" s="45">
        <f t="shared" si="6"/>
        <v>607068</v>
      </c>
      <c r="U9" s="41">
        <f>IF(Form!O$52&gt;=X9,Q$57,0)</f>
        <v>452551.63984879805</v>
      </c>
      <c r="V9" s="45">
        <f t="shared" si="7"/>
        <v>124000</v>
      </c>
      <c r="W9" s="46">
        <f t="shared" si="8"/>
        <v>30516.360151201952</v>
      </c>
      <c r="X9">
        <f t="shared" si="9"/>
        <v>4</v>
      </c>
      <c r="Y9" s="24"/>
      <c r="Z9" s="4"/>
      <c r="AA9" s="4"/>
      <c r="AB9" s="4"/>
      <c r="AC9" s="43"/>
    </row>
    <row r="10" spans="1:29" ht="15.75">
      <c r="A10" s="29">
        <v>7</v>
      </c>
      <c r="B10" s="30">
        <v>134.22117875647672</v>
      </c>
      <c r="C10" s="32">
        <v>150.348761863281</v>
      </c>
      <c r="E10" s="39">
        <f t="shared" si="4"/>
        <v>2023</v>
      </c>
      <c r="F10" s="70">
        <f ca="1">IF(L10&lt;=VLOOKUP(Form!O$29,A$41:B$51,2,FALSE),(VLOOKUP(F$48-(VLOOKUP(Form!O$30,A$36:B$38,2,FALSE)),A$4:C$27,3,FALSE)*Form!O$25),F$49*Form!O$25)</f>
        <v>179172.45856653451</v>
      </c>
      <c r="G10" s="70">
        <f ca="1">IF(L10&lt;=VLOOKUP(Form!O$29,A$41:B$51,2,FALSE),(VLOOKUP(Form!O$26-(VLOOKUP(Form!O$30,A$36:B$38,2,FALSE)),A$4:C$27,3,FALSE)*Form!O$25),F$45*Form!O$25)</f>
        <v>206994.07930631476</v>
      </c>
      <c r="H10" s="71">
        <f t="shared" si="0"/>
        <v>30516.360151201952</v>
      </c>
      <c r="I10" s="71">
        <f t="shared" ca="1" si="1"/>
        <v>209688.81871773646</v>
      </c>
      <c r="J10" s="41">
        <f ca="1">IF(L10&lt;=VLOOKUP(Form!O$29,A$41:B$51,2,FALSE),(VLOOKUP(F$48-(VLOOKUP(Form!O$30,A$36:B$38,2,FALSE)),A$4:C$27,2,FALSE)*Form!O$25),F$50*Form!O$25)</f>
        <v>138618.93335612168</v>
      </c>
      <c r="K10" s="41">
        <f ca="1">IF(L10&lt;=VLOOKUP(Form!O$29,A$41:B$51,2,FALSE),(VLOOKUP(Form!O$26-(VLOOKUP(Form!O$30,A$36:B$38,2,FALSE)),A$4:C$27,2,FALSE)*Form!O$25),F$46*Form!O$25)</f>
        <v>155514.16174918445</v>
      </c>
      <c r="L10" s="76">
        <f t="shared" ca="1" si="2"/>
        <v>0.6824978648998431</v>
      </c>
      <c r="M10" s="25"/>
      <c r="N10" s="39">
        <f t="shared" si="5"/>
        <v>2023</v>
      </c>
      <c r="O10" s="37">
        <f>Form!O$43</f>
        <v>2</v>
      </c>
      <c r="P10" s="37">
        <v>2</v>
      </c>
      <c r="Q10" s="37">
        <f>P$4*O$47*O$46*Form!O$50</f>
        <v>7884</v>
      </c>
      <c r="R10" s="37">
        <f t="shared" si="3"/>
        <v>15768</v>
      </c>
      <c r="S10" s="44">
        <f>Form!O$51</f>
        <v>3.85E-2</v>
      </c>
      <c r="T10" s="45">
        <f t="shared" si="6"/>
        <v>607068</v>
      </c>
      <c r="U10" s="41">
        <f>IF(Form!O$52&gt;=X10,Q$57,0)</f>
        <v>452551.63984879805</v>
      </c>
      <c r="V10" s="45">
        <f t="shared" si="7"/>
        <v>124000</v>
      </c>
      <c r="W10" s="46">
        <f t="shared" si="8"/>
        <v>30516.360151201952</v>
      </c>
      <c r="X10">
        <f t="shared" si="9"/>
        <v>5</v>
      </c>
      <c r="Y10" s="24"/>
      <c r="Z10" s="4"/>
      <c r="AA10" s="4"/>
      <c r="AB10" s="4"/>
      <c r="AC10" s="4"/>
    </row>
    <row r="11" spans="1:29" ht="15.75">
      <c r="A11" s="29">
        <v>8</v>
      </c>
      <c r="B11" s="30">
        <v>145.64790327352398</v>
      </c>
      <c r="C11" s="32">
        <v>170.73053434429201</v>
      </c>
      <c r="E11" s="39">
        <f t="shared" si="4"/>
        <v>2024</v>
      </c>
      <c r="F11" s="70">
        <f ca="1">IF(L11&lt;=VLOOKUP(Form!O$29,A$41:B$51,2,FALSE),(VLOOKUP(F$48-(VLOOKUP(Form!O$30,A$36:B$38,2,FALSE)),A$4:C$27,3,FALSE)*Form!O$25),F$49*Form!O$25)</f>
        <v>179172.45856653451</v>
      </c>
      <c r="G11" s="70">
        <f ca="1">IF(L11&lt;=VLOOKUP(Form!O$29,A$41:B$51,2,FALSE),(VLOOKUP(Form!O$26-(VLOOKUP(Form!O$30,A$36:B$38,2,FALSE)),A$4:C$27,3,FALSE)*Form!O$25),F$45*Form!O$25)</f>
        <v>206994.07930631476</v>
      </c>
      <c r="H11" s="71">
        <f t="shared" si="0"/>
        <v>30516.360151201952</v>
      </c>
      <c r="I11" s="71">
        <f t="shared" ca="1" si="1"/>
        <v>209688.81871773646</v>
      </c>
      <c r="J11" s="41">
        <f ca="1">IF(L11&lt;=VLOOKUP(Form!O$29,A$41:B$51,2,FALSE),(VLOOKUP(F$48-(VLOOKUP(Form!O$30,A$36:B$38,2,FALSE)),A$4:C$27,2,FALSE)*Form!O$25),F$50*Form!O$25)</f>
        <v>138618.93335612168</v>
      </c>
      <c r="K11" s="41">
        <f ca="1">IF(L11&lt;=VLOOKUP(Form!O$29,A$41:B$51,2,FALSE),(VLOOKUP(Form!O$26-(VLOOKUP(Form!O$30,A$36:B$38,2,FALSE)),A$4:C$27,2,FALSE)*Form!O$25),F$46*Form!O$25)</f>
        <v>155514.16174918445</v>
      </c>
      <c r="L11" s="76">
        <f t="shared" ca="1" si="2"/>
        <v>0.32148202339675769</v>
      </c>
      <c r="M11" s="66"/>
      <c r="N11" s="39">
        <f t="shared" si="5"/>
        <v>2024</v>
      </c>
      <c r="O11" s="37">
        <f>Form!O$43</f>
        <v>2</v>
      </c>
      <c r="P11" s="37">
        <v>2</v>
      </c>
      <c r="Q11" s="37">
        <f>P$4*O$47*O$46*Form!O$50</f>
        <v>7884</v>
      </c>
      <c r="R11" s="37">
        <f t="shared" si="3"/>
        <v>15768</v>
      </c>
      <c r="S11" s="44">
        <f>Form!O$51</f>
        <v>3.85E-2</v>
      </c>
      <c r="T11" s="45">
        <f t="shared" si="6"/>
        <v>607068</v>
      </c>
      <c r="U11" s="41">
        <f>IF(Form!O$52&gt;=X11,Q$57,0)</f>
        <v>452551.63984879805</v>
      </c>
      <c r="V11" s="45">
        <f t="shared" si="7"/>
        <v>124000</v>
      </c>
      <c r="W11" s="46">
        <f t="shared" si="8"/>
        <v>30516.360151201952</v>
      </c>
      <c r="X11">
        <f t="shared" si="9"/>
        <v>6</v>
      </c>
      <c r="Y11" s="24"/>
      <c r="Z11" s="4"/>
      <c r="AA11" s="4"/>
      <c r="AB11" s="4"/>
      <c r="AC11" s="4"/>
    </row>
    <row r="12" spans="1:29" ht="15.75">
      <c r="A12" s="29">
        <v>9</v>
      </c>
      <c r="B12" s="30">
        <v>156.4216721038828</v>
      </c>
      <c r="C12" s="32">
        <v>189.77620554067499</v>
      </c>
      <c r="E12" s="39">
        <f t="shared" si="4"/>
        <v>2025</v>
      </c>
      <c r="F12" s="70">
        <f ca="1">IF(L12&lt;=VLOOKUP(Form!O$29,A$41:B$51,2,FALSE),(VLOOKUP(F$48-(VLOOKUP(Form!O$30,A$36:B$38,2,FALSE)),A$4:C$27,3,FALSE)*Form!O$25),F$49*Form!O$25)</f>
        <v>179172.45856653451</v>
      </c>
      <c r="G12" s="70">
        <f ca="1">IF(L12&lt;=VLOOKUP(Form!O$29,A$41:B$51,2,FALSE),(VLOOKUP(Form!O$26-(VLOOKUP(Form!O$30,A$36:B$38,2,FALSE)),A$4:C$27,3,FALSE)*Form!O$25),F$45*Form!O$25)</f>
        <v>206994.07930631476</v>
      </c>
      <c r="H12" s="71">
        <f t="shared" si="0"/>
        <v>30516.360151201952</v>
      </c>
      <c r="I12" s="71">
        <f t="shared" ca="1" si="1"/>
        <v>209688.81871773646</v>
      </c>
      <c r="J12" s="41">
        <f ca="1">IF(L12&lt;=VLOOKUP(Form!O$29,A$41:B$51,2,FALSE),(VLOOKUP(F$48-(VLOOKUP(Form!O$30,A$36:B$38,2,FALSE)),A$4:C$27,2,FALSE)*Form!O$25),F$50*Form!O$25)</f>
        <v>138618.93335612168</v>
      </c>
      <c r="K12" s="41">
        <f ca="1">IF(L12&lt;=VLOOKUP(Form!O$29,A$41:B$51,2,FALSE),(VLOOKUP(Form!O$26-(VLOOKUP(Form!O$30,A$36:B$38,2,FALSE)),A$4:C$27,2,FALSE)*Form!O$25),F$46*Form!O$25)</f>
        <v>155514.16174918445</v>
      </c>
      <c r="L12" s="76">
        <f t="shared" ca="1" si="2"/>
        <v>0.33200942733885197</v>
      </c>
      <c r="M12" s="25"/>
      <c r="N12" s="39">
        <f t="shared" si="5"/>
        <v>2025</v>
      </c>
      <c r="O12" s="37">
        <f>Form!O$43</f>
        <v>2</v>
      </c>
      <c r="P12" s="37">
        <v>2</v>
      </c>
      <c r="Q12" s="37">
        <f>P$4*O$47*O$46*Form!O$50</f>
        <v>7884</v>
      </c>
      <c r="R12" s="37">
        <f t="shared" si="3"/>
        <v>15768</v>
      </c>
      <c r="S12" s="44">
        <f>Form!O$51</f>
        <v>3.85E-2</v>
      </c>
      <c r="T12" s="45">
        <f t="shared" si="6"/>
        <v>607068</v>
      </c>
      <c r="U12" s="41">
        <f>IF(Form!O$52&gt;=X12,Q$57,0)</f>
        <v>452551.63984879805</v>
      </c>
      <c r="V12" s="45">
        <f t="shared" si="7"/>
        <v>124000</v>
      </c>
      <c r="W12" s="46">
        <f t="shared" si="8"/>
        <v>30516.360151201952</v>
      </c>
      <c r="X12">
        <f t="shared" si="9"/>
        <v>7</v>
      </c>
      <c r="Y12" s="24"/>
      <c r="Z12" s="4"/>
      <c r="AA12" s="4"/>
      <c r="AB12" s="4"/>
      <c r="AC12" s="4"/>
    </row>
    <row r="13" spans="1:29" ht="15.75">
      <c r="A13" s="29">
        <v>10</v>
      </c>
      <c r="B13" s="30">
        <v>166.54248524755323</v>
      </c>
      <c r="C13" s="32">
        <v>207.48577545242699</v>
      </c>
      <c r="E13" s="39">
        <f t="shared" si="4"/>
        <v>2026</v>
      </c>
      <c r="F13" s="70">
        <f ca="1">IF(L13&lt;=VLOOKUP(Form!O$29,A$41:B$51,2,FALSE),(VLOOKUP(F$48-(VLOOKUP(Form!O$30,A$36:B$38,2,FALSE)),A$4:C$27,3,FALSE)*Form!O$25),F$49*Form!O$25)</f>
        <v>179172.45856653451</v>
      </c>
      <c r="G13" s="70">
        <f ca="1">IF(L13&lt;=VLOOKUP(Form!O$29,A$41:B$51,2,FALSE),(VLOOKUP(Form!O$26-(VLOOKUP(Form!O$30,A$36:B$38,2,FALSE)),A$4:C$27,3,FALSE)*Form!O$25),F$45*Form!O$25)</f>
        <v>206994.07930631476</v>
      </c>
      <c r="H13" s="71">
        <f t="shared" si="0"/>
        <v>30516.360151201952</v>
      </c>
      <c r="I13" s="71">
        <f t="shared" ca="1" si="1"/>
        <v>209688.81871773646</v>
      </c>
      <c r="J13" s="41">
        <f ca="1">IF(L13&lt;=VLOOKUP(Form!O$29,A$41:B$51,2,FALSE),(VLOOKUP(F$48-(VLOOKUP(Form!O$30,A$36:B$38,2,FALSE)),A$4:C$27,2,FALSE)*Form!O$25),F$50*Form!O$25)</f>
        <v>138618.93335612168</v>
      </c>
      <c r="K13" s="41">
        <f ca="1">IF(L13&lt;=VLOOKUP(Form!O$29,A$41:B$51,2,FALSE),(VLOOKUP(Form!O$26-(VLOOKUP(Form!O$30,A$36:B$38,2,FALSE)),A$4:C$27,2,FALSE)*Form!O$25),F$46*Form!O$25)</f>
        <v>155514.16174918445</v>
      </c>
      <c r="L13" s="76">
        <f t="shared" ca="1" si="2"/>
        <v>0.4265991185115966</v>
      </c>
      <c r="M13" s="25"/>
      <c r="N13" s="39">
        <f t="shared" si="5"/>
        <v>2026</v>
      </c>
      <c r="O13" s="37">
        <f>Form!O$43</f>
        <v>2</v>
      </c>
      <c r="P13" s="37">
        <v>2</v>
      </c>
      <c r="Q13" s="37">
        <f>P$4*O$47*O$46*Form!O$50</f>
        <v>7884</v>
      </c>
      <c r="R13" s="37">
        <f t="shared" si="3"/>
        <v>15768</v>
      </c>
      <c r="S13" s="44">
        <f>Form!O$51</f>
        <v>3.85E-2</v>
      </c>
      <c r="T13" s="45">
        <f t="shared" si="6"/>
        <v>607068</v>
      </c>
      <c r="U13" s="41">
        <f>IF(Form!O$52&gt;=X13,Q$57,0)</f>
        <v>452551.63984879805</v>
      </c>
      <c r="V13" s="45">
        <f t="shared" si="7"/>
        <v>124000</v>
      </c>
      <c r="W13" s="46">
        <f t="shared" si="8"/>
        <v>30516.360151201952</v>
      </c>
      <c r="X13">
        <f t="shared" si="9"/>
        <v>8</v>
      </c>
      <c r="Y13" s="24"/>
      <c r="Z13" s="4"/>
      <c r="AA13" s="4"/>
      <c r="AB13" s="4"/>
      <c r="AC13" s="4"/>
    </row>
    <row r="14" spans="1:29" ht="15.75">
      <c r="A14" s="29">
        <v>11</v>
      </c>
      <c r="B14" s="30">
        <v>176.0103427045353</v>
      </c>
      <c r="C14" s="32">
        <v>223.85924407955099</v>
      </c>
      <c r="E14" s="39">
        <f t="shared" si="4"/>
        <v>2027</v>
      </c>
      <c r="F14" s="70">
        <f ca="1">IF(L14&lt;=VLOOKUP(Form!O$29,A$41:B$51,2,FALSE),(VLOOKUP(F$48-(VLOOKUP(Form!O$30,A$36:B$38,2,FALSE)),A$4:C$27,3,FALSE)*Form!O$25),F$49*Form!O$25)</f>
        <v>179172.45856653451</v>
      </c>
      <c r="G14" s="70">
        <f ca="1">IF(L14&lt;=VLOOKUP(Form!O$29,A$41:B$51,2,FALSE),(VLOOKUP(Form!O$26-(VLOOKUP(Form!O$30,A$36:B$38,2,FALSE)),A$4:C$27,3,FALSE)*Form!O$25),F$45*Form!O$25)</f>
        <v>206994.07930631476</v>
      </c>
      <c r="H14" s="71">
        <f t="shared" si="0"/>
        <v>30516.360151201952</v>
      </c>
      <c r="I14" s="71">
        <f t="shared" ca="1" si="1"/>
        <v>209688.81871773646</v>
      </c>
      <c r="J14" s="41">
        <f ca="1">IF(L14&lt;=VLOOKUP(Form!O$29,A$41:B$51,2,FALSE),(VLOOKUP(F$48-(VLOOKUP(Form!O$30,A$36:B$38,2,FALSE)),A$4:C$27,2,FALSE)*Form!O$25),F$50*Form!O$25)</f>
        <v>138618.93335612168</v>
      </c>
      <c r="K14" s="41">
        <f ca="1">IF(L14&lt;=VLOOKUP(Form!O$29,A$41:B$51,2,FALSE),(VLOOKUP(Form!O$26-(VLOOKUP(Form!O$30,A$36:B$38,2,FALSE)),A$4:C$27,2,FALSE)*Form!O$25),F$46*Form!O$25)</f>
        <v>155514.16174918445</v>
      </c>
      <c r="L14" s="76">
        <f t="shared" ca="1" si="2"/>
        <v>0.51815590921425514</v>
      </c>
      <c r="M14" s="25"/>
      <c r="N14" s="39">
        <f t="shared" si="5"/>
        <v>2027</v>
      </c>
      <c r="O14" s="37">
        <f>Form!O$43</f>
        <v>2</v>
      </c>
      <c r="P14" s="37">
        <v>2</v>
      </c>
      <c r="Q14" s="37">
        <f>P$4*O$47*O$46*Form!O$50</f>
        <v>7884</v>
      </c>
      <c r="R14" s="37">
        <f t="shared" si="3"/>
        <v>15768</v>
      </c>
      <c r="S14" s="44">
        <f>Form!O$51</f>
        <v>3.85E-2</v>
      </c>
      <c r="T14" s="45">
        <f t="shared" si="6"/>
        <v>607068</v>
      </c>
      <c r="U14" s="41">
        <f>IF(Form!O$52&gt;=X14,Q$57,0)</f>
        <v>452551.63984879805</v>
      </c>
      <c r="V14" s="45">
        <f t="shared" si="7"/>
        <v>124000</v>
      </c>
      <c r="W14" s="46">
        <f t="shared" si="8"/>
        <v>30516.360151201952</v>
      </c>
      <c r="X14">
        <f t="shared" si="9"/>
        <v>9</v>
      </c>
      <c r="Y14" s="24"/>
      <c r="Z14" s="4"/>
      <c r="AA14" s="4"/>
      <c r="AB14" s="4"/>
      <c r="AC14" s="4"/>
    </row>
    <row r="15" spans="1:29" ht="15.75">
      <c r="A15" s="29">
        <v>12</v>
      </c>
      <c r="B15" s="30">
        <v>184.82524447482891</v>
      </c>
      <c r="C15" s="32">
        <v>238.89661142204599</v>
      </c>
      <c r="E15" s="39">
        <f t="shared" si="4"/>
        <v>2028</v>
      </c>
      <c r="F15" s="70">
        <f ca="1">IF(L15&lt;=VLOOKUP(Form!O$29,A$41:B$51,2,FALSE),(VLOOKUP(F$48-(VLOOKUP(Form!O$30,A$36:B$38,2,FALSE)),A$4:C$27,3,FALSE)*Form!O$25),F$49*Form!O$25)</f>
        <v>179172.45856653451</v>
      </c>
      <c r="G15" s="70">
        <f ca="1">IF(L15&lt;=VLOOKUP(Form!O$29,A$41:B$51,2,FALSE),(VLOOKUP(Form!O$26-(VLOOKUP(Form!O$30,A$36:B$38,2,FALSE)),A$4:C$27,3,FALSE)*Form!O$25),F$45*Form!O$25)</f>
        <v>206994.07930631476</v>
      </c>
      <c r="H15" s="71">
        <f t="shared" si="0"/>
        <v>30516.360151201952</v>
      </c>
      <c r="I15" s="71">
        <f t="shared" ca="1" si="1"/>
        <v>209688.81871773646</v>
      </c>
      <c r="J15" s="41">
        <f ca="1">IF(L15&lt;=VLOOKUP(Form!O$29,A$41:B$51,2,FALSE),(VLOOKUP(F$48-(VLOOKUP(Form!O$30,A$36:B$38,2,FALSE)),A$4:C$27,2,FALSE)*Form!O$25),F$50*Form!O$25)</f>
        <v>138618.93335612168</v>
      </c>
      <c r="K15" s="41">
        <f ca="1">IF(L15&lt;=VLOOKUP(Form!O$29,A$41:B$51,2,FALSE),(VLOOKUP(Form!O$26-(VLOOKUP(Form!O$30,A$36:B$38,2,FALSE)),A$4:C$27,2,FALSE)*Form!O$25),F$46*Form!O$25)</f>
        <v>155514.16174918445</v>
      </c>
      <c r="L15" s="76">
        <f t="shared" ca="1" si="2"/>
        <v>3.2257125055581981E-2</v>
      </c>
      <c r="M15" s="25"/>
      <c r="N15" s="39">
        <f t="shared" si="5"/>
        <v>2028</v>
      </c>
      <c r="O15" s="37">
        <f>Form!O$43</f>
        <v>2</v>
      </c>
      <c r="P15" s="37">
        <v>2</v>
      </c>
      <c r="Q15" s="37">
        <f>P$4*O$47*O$46*Form!O$50</f>
        <v>7884</v>
      </c>
      <c r="R15" s="37">
        <f t="shared" si="3"/>
        <v>15768</v>
      </c>
      <c r="S15" s="44">
        <f>Form!O$51</f>
        <v>3.85E-2</v>
      </c>
      <c r="T15" s="45">
        <f t="shared" si="6"/>
        <v>607068</v>
      </c>
      <c r="U15" s="41">
        <f>IF(Form!O$52&gt;=X15,Q$57,0)</f>
        <v>452551.63984879805</v>
      </c>
      <c r="V15" s="45">
        <f t="shared" si="7"/>
        <v>124000</v>
      </c>
      <c r="W15" s="46">
        <f t="shared" si="8"/>
        <v>30516.360151201952</v>
      </c>
      <c r="X15">
        <f t="shared" si="9"/>
        <v>10</v>
      </c>
      <c r="Y15" s="24"/>
      <c r="Z15" s="4"/>
      <c r="AA15" s="4"/>
      <c r="AB15" s="4"/>
      <c r="AC15" s="4"/>
    </row>
    <row r="16" spans="1:29" ht="15.75">
      <c r="A16" s="29">
        <v>13</v>
      </c>
      <c r="B16" s="30">
        <v>192.98719055843407</v>
      </c>
      <c r="C16" s="32">
        <v>252.59787747991101</v>
      </c>
      <c r="E16" s="39">
        <f t="shared" si="4"/>
        <v>2029</v>
      </c>
      <c r="F16" s="70">
        <f ca="1">IF(L16&lt;=VLOOKUP(Form!O$29,A$41:B$51,2,FALSE),(VLOOKUP(F$48-(VLOOKUP(Form!O$30,A$36:B$38,2,FALSE)),A$4:C$27,3,FALSE)*Form!O$25),F$49*Form!O$25)</f>
        <v>179172.45856653451</v>
      </c>
      <c r="G16" s="70">
        <f ca="1">IF(L16&lt;=VLOOKUP(Form!O$29,A$41:B$51,2,FALSE),(VLOOKUP(Form!O$26-(VLOOKUP(Form!O$30,A$36:B$38,2,FALSE)),A$4:C$27,3,FALSE)*Form!O$25),F$45*Form!O$25)</f>
        <v>206994.07930631476</v>
      </c>
      <c r="H16" s="71">
        <f t="shared" si="0"/>
        <v>30516.360151201952</v>
      </c>
      <c r="I16" s="71">
        <f t="shared" ca="1" si="1"/>
        <v>209688.81871773646</v>
      </c>
      <c r="J16" s="41">
        <f ca="1">IF(L16&lt;=VLOOKUP(Form!O$29,A$41:B$51,2,FALSE),(VLOOKUP(F$48-(VLOOKUP(Form!O$30,A$36:B$38,2,FALSE)),A$4:C$27,2,FALSE)*Form!O$25),F$50*Form!O$25)</f>
        <v>138618.93335612168</v>
      </c>
      <c r="K16" s="41">
        <f ca="1">IF(L16&lt;=VLOOKUP(Form!O$29,A$41:B$51,2,FALSE),(VLOOKUP(Form!O$26-(VLOOKUP(Form!O$30,A$36:B$38,2,FALSE)),A$4:C$27,2,FALSE)*Form!O$25),F$46*Form!O$25)</f>
        <v>155514.16174918445</v>
      </c>
      <c r="L16" s="76">
        <f t="shared" ca="1" si="2"/>
        <v>0.54128493159314894</v>
      </c>
      <c r="M16" s="25"/>
      <c r="N16" s="39">
        <f t="shared" si="5"/>
        <v>2029</v>
      </c>
      <c r="O16" s="37">
        <f>Form!O$43</f>
        <v>2</v>
      </c>
      <c r="P16" s="37">
        <v>2</v>
      </c>
      <c r="Q16" s="37">
        <f>P$4*O$47*O$46*Form!O$50</f>
        <v>7884</v>
      </c>
      <c r="R16" s="37">
        <f t="shared" si="3"/>
        <v>15768</v>
      </c>
      <c r="S16" s="44">
        <f>Form!O$51</f>
        <v>3.85E-2</v>
      </c>
      <c r="T16" s="45">
        <f t="shared" si="6"/>
        <v>607068</v>
      </c>
      <c r="U16" s="41">
        <f>IF(Form!O$52&gt;=X16,Q$57,0)</f>
        <v>452551.63984879805</v>
      </c>
      <c r="V16" s="45">
        <f t="shared" si="7"/>
        <v>124000</v>
      </c>
      <c r="W16" s="46">
        <f t="shared" si="8"/>
        <v>30516.360151201952</v>
      </c>
      <c r="X16">
        <f t="shared" si="9"/>
        <v>11</v>
      </c>
      <c r="Y16" s="24"/>
      <c r="Z16" s="4"/>
      <c r="AA16" s="4"/>
      <c r="AB16" s="4"/>
      <c r="AC16" s="4"/>
    </row>
    <row r="17" spans="1:29" ht="15.75">
      <c r="A17" s="29">
        <v>14</v>
      </c>
      <c r="B17" s="30">
        <v>200.49618095535084</v>
      </c>
      <c r="C17" s="32">
        <v>264.96304225314702</v>
      </c>
      <c r="E17" s="39">
        <f t="shared" si="4"/>
        <v>2030</v>
      </c>
      <c r="F17" s="70">
        <f ca="1">IF(L17&lt;=VLOOKUP(Form!O$29,A$41:B$51,2,FALSE),(VLOOKUP(F$48-(VLOOKUP(Form!O$30,A$36:B$38,2,FALSE)),A$4:C$27,3,FALSE)*Form!O$25),F$49*Form!O$25)</f>
        <v>179172.45856653451</v>
      </c>
      <c r="G17" s="70">
        <f ca="1">IF(L17&lt;=VLOOKUP(Form!O$29,A$41:B$51,2,FALSE),(VLOOKUP(Form!O$26-(VLOOKUP(Form!O$30,A$36:B$38,2,FALSE)),A$4:C$27,3,FALSE)*Form!O$25),F$45*Form!O$25)</f>
        <v>206994.07930631476</v>
      </c>
      <c r="H17" s="71">
        <f t="shared" si="0"/>
        <v>30516.360151201952</v>
      </c>
      <c r="I17" s="71">
        <f t="shared" ca="1" si="1"/>
        <v>209688.81871773646</v>
      </c>
      <c r="J17" s="41">
        <f ca="1">IF(L17&lt;=VLOOKUP(Form!O$29,A$41:B$51,2,FALSE),(VLOOKUP(F$48-(VLOOKUP(Form!O$30,A$36:B$38,2,FALSE)),A$4:C$27,2,FALSE)*Form!O$25),F$50*Form!O$25)</f>
        <v>138618.93335612168</v>
      </c>
      <c r="K17" s="41">
        <f ca="1">IF(L17&lt;=VLOOKUP(Form!O$29,A$41:B$51,2,FALSE),(VLOOKUP(Form!O$26-(VLOOKUP(Form!O$30,A$36:B$38,2,FALSE)),A$4:C$27,2,FALSE)*Form!O$25),F$46*Form!O$25)</f>
        <v>155514.16174918445</v>
      </c>
      <c r="L17" s="76">
        <f t="shared" ca="1" si="2"/>
        <v>0.90961602505461425</v>
      </c>
      <c r="M17" s="25"/>
      <c r="N17" s="39">
        <f t="shared" si="5"/>
        <v>2030</v>
      </c>
      <c r="O17" s="37">
        <f>Form!O$43</f>
        <v>2</v>
      </c>
      <c r="P17" s="37">
        <v>2</v>
      </c>
      <c r="Q17" s="37">
        <f>P$4*O$47*O$46*Form!O$50</f>
        <v>7884</v>
      </c>
      <c r="R17" s="37">
        <f t="shared" si="3"/>
        <v>15768</v>
      </c>
      <c r="S17" s="44">
        <f>Form!O$51</f>
        <v>3.85E-2</v>
      </c>
      <c r="T17" s="45">
        <f t="shared" si="6"/>
        <v>607068</v>
      </c>
      <c r="U17" s="41">
        <f>IF(Form!O$52&gt;=X17,Q$57,0)</f>
        <v>452551.63984879805</v>
      </c>
      <c r="V17" s="45">
        <f t="shared" si="7"/>
        <v>124000</v>
      </c>
      <c r="W17" s="46">
        <f t="shared" si="8"/>
        <v>30516.360151201952</v>
      </c>
      <c r="X17">
        <f t="shared" si="9"/>
        <v>12</v>
      </c>
      <c r="Y17" s="24"/>
      <c r="Z17" s="4"/>
      <c r="AA17" s="4"/>
      <c r="AB17" s="4"/>
      <c r="AC17" s="4"/>
    </row>
    <row r="18" spans="1:29" ht="15.75">
      <c r="A18" s="29">
        <v>15</v>
      </c>
      <c r="B18" s="30">
        <v>207.35221566557925</v>
      </c>
      <c r="C18" s="32">
        <v>275.99210574175299</v>
      </c>
      <c r="E18" s="39">
        <f t="shared" si="4"/>
        <v>2031</v>
      </c>
      <c r="F18" s="70">
        <f ca="1">IF(L18&lt;=VLOOKUP(Form!O$29,A$41:B$51,2,FALSE),(VLOOKUP(F$48-(VLOOKUP(Form!O$30,A$36:B$38,2,FALSE)),A$4:C$27,3,FALSE)*Form!O$25),F$49*Form!O$25)</f>
        <v>179172.45856653451</v>
      </c>
      <c r="G18" s="70">
        <f ca="1">IF(L18&lt;=VLOOKUP(Form!O$29,A$41:B$51,2,FALSE),(VLOOKUP(Form!O$26-(VLOOKUP(Form!O$30,A$36:B$38,2,FALSE)),A$4:C$27,3,FALSE)*Form!O$25),F$45*Form!O$25)</f>
        <v>206994.07930631476</v>
      </c>
      <c r="H18" s="71">
        <f t="shared" si="0"/>
        <v>30516.360151201952</v>
      </c>
      <c r="I18" s="71">
        <f t="shared" ca="1" si="1"/>
        <v>209688.81871773646</v>
      </c>
      <c r="J18" s="41">
        <f ca="1">IF(L18&lt;=VLOOKUP(Form!O$29,A$41:B$51,2,FALSE),(VLOOKUP(F$48-(VLOOKUP(Form!O$30,A$36:B$38,2,FALSE)),A$4:C$27,2,FALSE)*Form!O$25),F$50*Form!O$25)</f>
        <v>138618.93335612168</v>
      </c>
      <c r="K18" s="41">
        <f ca="1">IF(L18&lt;=VLOOKUP(Form!O$29,A$41:B$51,2,FALSE),(VLOOKUP(Form!O$26-(VLOOKUP(Form!O$30,A$36:B$38,2,FALSE)),A$4:C$27,2,FALSE)*Form!O$25),F$46*Form!O$25)</f>
        <v>155514.16174918445</v>
      </c>
      <c r="L18" s="76">
        <f t="shared" ca="1" si="2"/>
        <v>2.2520618972559969E-2</v>
      </c>
      <c r="M18" s="25"/>
      <c r="N18" s="39">
        <f t="shared" si="5"/>
        <v>2031</v>
      </c>
      <c r="O18" s="37">
        <f>Form!O$43</f>
        <v>2</v>
      </c>
      <c r="P18" s="37">
        <v>2</v>
      </c>
      <c r="Q18" s="37">
        <f>P$4*O$47*O$46*Form!O$50</f>
        <v>7884</v>
      </c>
      <c r="R18" s="37">
        <f t="shared" si="3"/>
        <v>15768</v>
      </c>
      <c r="S18" s="44">
        <f>Form!O$51</f>
        <v>3.85E-2</v>
      </c>
      <c r="T18" s="45">
        <f t="shared" si="6"/>
        <v>607068</v>
      </c>
      <c r="U18" s="41">
        <f>IF(Form!O$52&gt;=X18,Q$57,0)</f>
        <v>452551.63984879805</v>
      </c>
      <c r="V18" s="45">
        <f t="shared" si="7"/>
        <v>124000</v>
      </c>
      <c r="W18" s="46">
        <f t="shared" si="8"/>
        <v>30516.360151201952</v>
      </c>
      <c r="X18">
        <f t="shared" si="9"/>
        <v>13</v>
      </c>
      <c r="Y18" s="24"/>
      <c r="Z18" s="4"/>
      <c r="AA18" s="4"/>
      <c r="AB18" s="4"/>
      <c r="AC18" s="4"/>
    </row>
    <row r="19" spans="1:29" ht="15.75">
      <c r="A19" s="29">
        <v>16</v>
      </c>
      <c r="B19" s="30">
        <v>213.55529468911919</v>
      </c>
      <c r="C19" s="32">
        <v>285.68506794573102</v>
      </c>
      <c r="E19" s="39">
        <f t="shared" si="4"/>
        <v>2032</v>
      </c>
      <c r="F19" s="70">
        <f ca="1">IF(L19&lt;=VLOOKUP(Form!O$29,A$41:B$51,2,FALSE),(VLOOKUP(F$48-(VLOOKUP(Form!O$30,A$36:B$38,2,FALSE)),A$4:C$27,3,FALSE)*Form!O$25),F$49*Form!O$25)</f>
        <v>179172.45856653451</v>
      </c>
      <c r="G19" s="70">
        <f ca="1">IF(L19&lt;=VLOOKUP(Form!O$29,A$41:B$51,2,FALSE),(VLOOKUP(Form!O$26-(VLOOKUP(Form!O$30,A$36:B$38,2,FALSE)),A$4:C$27,3,FALSE)*Form!O$25),F$45*Form!O$25)</f>
        <v>206994.07930631476</v>
      </c>
      <c r="H19" s="71">
        <f t="shared" si="0"/>
        <v>30516.360151201952</v>
      </c>
      <c r="I19" s="71">
        <f t="shared" ca="1" si="1"/>
        <v>209688.81871773646</v>
      </c>
      <c r="J19" s="41">
        <f ca="1">IF(L19&lt;=VLOOKUP(Form!O$29,A$41:B$51,2,FALSE),(VLOOKUP(F$48-(VLOOKUP(Form!O$30,A$36:B$38,2,FALSE)),A$4:C$27,2,FALSE)*Form!O$25),F$50*Form!O$25)</f>
        <v>138618.93335612168</v>
      </c>
      <c r="K19" s="41">
        <f ca="1">IF(L19&lt;=VLOOKUP(Form!O$29,A$41:B$51,2,FALSE),(VLOOKUP(Form!O$26-(VLOOKUP(Form!O$30,A$36:B$38,2,FALSE)),A$4:C$27,2,FALSE)*Form!O$25),F$46*Form!O$25)</f>
        <v>155514.16174918445</v>
      </c>
      <c r="L19" s="76">
        <f t="shared" ca="1" si="2"/>
        <v>0.73344705119317044</v>
      </c>
      <c r="M19" s="25"/>
      <c r="N19" s="39">
        <f t="shared" si="5"/>
        <v>2032</v>
      </c>
      <c r="O19" s="37">
        <f>Form!O$43</f>
        <v>2</v>
      </c>
      <c r="P19" s="37">
        <v>2</v>
      </c>
      <c r="Q19" s="37">
        <f>P$4*O$47*O$46*Form!O$50</f>
        <v>7884</v>
      </c>
      <c r="R19" s="37">
        <f t="shared" si="3"/>
        <v>15768</v>
      </c>
      <c r="S19" s="44">
        <f>Form!O$51</f>
        <v>3.85E-2</v>
      </c>
      <c r="T19" s="45">
        <f t="shared" si="6"/>
        <v>607068</v>
      </c>
      <c r="U19" s="41">
        <f>IF(Form!O$52&gt;=X19,Q$57,0)</f>
        <v>452551.63984879805</v>
      </c>
      <c r="V19" s="45">
        <f t="shared" si="7"/>
        <v>124000</v>
      </c>
      <c r="W19" s="46">
        <f t="shared" si="8"/>
        <v>30516.360151201952</v>
      </c>
      <c r="X19">
        <f t="shared" si="9"/>
        <v>14</v>
      </c>
      <c r="Y19" s="24"/>
      <c r="Z19" s="4"/>
      <c r="AA19" s="4"/>
      <c r="AB19" s="4"/>
      <c r="AC19" s="4"/>
    </row>
    <row r="20" spans="1:29" ht="15.75">
      <c r="A20" s="29">
        <v>17</v>
      </c>
      <c r="B20" s="30">
        <v>219.10541802597072</v>
      </c>
      <c r="C20" s="32">
        <v>294.041928865079</v>
      </c>
      <c r="E20" s="39">
        <f t="shared" si="4"/>
        <v>2033</v>
      </c>
      <c r="F20" s="70">
        <f ca="1">IF(L20&lt;=VLOOKUP(Form!O$29,A$41:B$51,2,FALSE),(VLOOKUP(F$48-(VLOOKUP(Form!O$30,A$36:B$38,2,FALSE)),A$4:C$27,3,FALSE)*Form!O$25),F$49*Form!O$25)</f>
        <v>179172.45856653451</v>
      </c>
      <c r="G20" s="70">
        <f ca="1">IF(L20&lt;=VLOOKUP(Form!O$29,A$41:B$51,2,FALSE),(VLOOKUP(Form!O$26-(VLOOKUP(Form!O$30,A$36:B$38,2,FALSE)),A$4:C$27,3,FALSE)*Form!O$25),F$45*Form!O$25)</f>
        <v>206994.07930631476</v>
      </c>
      <c r="H20" s="71">
        <f t="shared" si="0"/>
        <v>30516.360151201952</v>
      </c>
      <c r="I20" s="71">
        <f t="shared" ca="1" si="1"/>
        <v>209688.81871773646</v>
      </c>
      <c r="J20" s="41">
        <f ca="1">IF(L20&lt;=VLOOKUP(Form!O$29,A$41:B$51,2,FALSE),(VLOOKUP(F$48-(VLOOKUP(Form!O$30,A$36:B$38,2,FALSE)),A$4:C$27,2,FALSE)*Form!O$25),F$50*Form!O$25)</f>
        <v>138618.93335612168</v>
      </c>
      <c r="K20" s="41">
        <f ca="1">IF(L20&lt;=VLOOKUP(Form!O$29,A$41:B$51,2,FALSE),(VLOOKUP(Form!O$26-(VLOOKUP(Form!O$30,A$36:B$38,2,FALSE)),A$4:C$27,2,FALSE)*Form!O$25),F$46*Form!O$25)</f>
        <v>155514.16174918445</v>
      </c>
      <c r="L20" s="76">
        <f t="shared" ca="1" si="2"/>
        <v>0.53721104002028885</v>
      </c>
      <c r="M20" s="25"/>
      <c r="N20" s="39">
        <f t="shared" si="5"/>
        <v>2033</v>
      </c>
      <c r="O20" s="37">
        <f>Form!O$43</f>
        <v>2</v>
      </c>
      <c r="P20" s="37">
        <v>2</v>
      </c>
      <c r="Q20" s="37">
        <f>P$4*O$47*O$46*Form!O$50</f>
        <v>7884</v>
      </c>
      <c r="R20" s="37">
        <f t="shared" si="3"/>
        <v>15768</v>
      </c>
      <c r="S20" s="44">
        <f>Form!O$51</f>
        <v>3.85E-2</v>
      </c>
      <c r="T20" s="45">
        <f t="shared" si="6"/>
        <v>607068</v>
      </c>
      <c r="U20" s="41">
        <f>IF(Form!O$52&gt;=X20,Q$57,0)</f>
        <v>452551.63984879805</v>
      </c>
      <c r="V20" s="45">
        <f t="shared" si="7"/>
        <v>124000</v>
      </c>
      <c r="W20" s="46">
        <f t="shared" si="8"/>
        <v>30516.360151201952</v>
      </c>
      <c r="X20">
        <f t="shared" si="9"/>
        <v>15</v>
      </c>
      <c r="Y20" s="24"/>
      <c r="Z20" s="4"/>
      <c r="AA20" s="4"/>
      <c r="AB20" s="4"/>
      <c r="AC20" s="4"/>
    </row>
    <row r="21" spans="1:29" ht="15.75">
      <c r="A21" s="29">
        <v>18</v>
      </c>
      <c r="B21" s="30">
        <v>224.0025856761338</v>
      </c>
      <c r="C21" s="32">
        <v>301.06268849979898</v>
      </c>
      <c r="E21" s="39">
        <f t="shared" si="4"/>
        <v>2034</v>
      </c>
      <c r="F21" s="70">
        <f ca="1">IF(L21&lt;=VLOOKUP(Form!O$29,A$41:B$51,2,FALSE),(VLOOKUP(F$48-(VLOOKUP(Form!O$30,A$36:B$38,2,FALSE)),A$4:C$27,3,FALSE)*Form!O$25),F$49*Form!O$25)</f>
        <v>179172.45856653451</v>
      </c>
      <c r="G21" s="70">
        <f ca="1">IF(L21&lt;=VLOOKUP(Form!O$29,A$41:B$51,2,FALSE),(VLOOKUP(Form!O$26-(VLOOKUP(Form!O$30,A$36:B$38,2,FALSE)),A$4:C$27,3,FALSE)*Form!O$25),F$45*Form!O$25)</f>
        <v>206994.07930631476</v>
      </c>
      <c r="H21" s="71">
        <f t="shared" si="0"/>
        <v>30516.360151201952</v>
      </c>
      <c r="I21" s="71">
        <f t="shared" ca="1" si="1"/>
        <v>209688.81871773646</v>
      </c>
      <c r="J21" s="41">
        <f ca="1">IF(L21&lt;=VLOOKUP(Form!O$29,A$41:B$51,2,FALSE),(VLOOKUP(F$48-(VLOOKUP(Form!O$30,A$36:B$38,2,FALSE)),A$4:C$27,2,FALSE)*Form!O$25),F$50*Form!O$25)</f>
        <v>138618.93335612168</v>
      </c>
      <c r="K21" s="41">
        <f ca="1">IF(L21&lt;=VLOOKUP(Form!O$29,A$41:B$51,2,FALSE),(VLOOKUP(Form!O$26-(VLOOKUP(Form!O$30,A$36:B$38,2,FALSE)),A$4:C$27,2,FALSE)*Form!O$25),F$46*Form!O$25)</f>
        <v>155514.16174918445</v>
      </c>
      <c r="L21" s="76">
        <f t="shared" ca="1" si="2"/>
        <v>1.6589907144446636E-2</v>
      </c>
      <c r="M21" s="25"/>
      <c r="N21" s="39">
        <f t="shared" si="5"/>
        <v>2034</v>
      </c>
      <c r="O21" s="37">
        <f>Form!O$43</f>
        <v>2</v>
      </c>
      <c r="P21" s="37">
        <v>2</v>
      </c>
      <c r="Q21" s="37">
        <f>P$4*O$47*O$46*Form!O$50</f>
        <v>7884</v>
      </c>
      <c r="R21" s="37">
        <f t="shared" si="3"/>
        <v>15768</v>
      </c>
      <c r="S21" s="44">
        <f>Form!O$51</f>
        <v>3.85E-2</v>
      </c>
      <c r="T21" s="45">
        <f t="shared" si="6"/>
        <v>607068</v>
      </c>
      <c r="U21" s="41">
        <f>IF(Form!O$52&gt;=X21,Q$57,0)</f>
        <v>452551.63984879805</v>
      </c>
      <c r="V21" s="45">
        <f t="shared" si="7"/>
        <v>124000</v>
      </c>
      <c r="W21" s="46">
        <f t="shared" si="8"/>
        <v>30516.360151201952</v>
      </c>
      <c r="X21">
        <f t="shared" si="9"/>
        <v>16</v>
      </c>
      <c r="Y21" s="24"/>
      <c r="Z21" s="4"/>
      <c r="AA21" s="4"/>
      <c r="AB21" s="4"/>
      <c r="AC21" s="4"/>
    </row>
    <row r="22" spans="1:29" ht="15.75">
      <c r="A22" s="29">
        <v>19</v>
      </c>
      <c r="B22" s="30">
        <v>228.2467976396085</v>
      </c>
      <c r="C22" s="32">
        <v>306.74734684988903</v>
      </c>
      <c r="E22" s="39">
        <f t="shared" si="4"/>
        <v>2035</v>
      </c>
      <c r="F22" s="70">
        <f ca="1">IF(L22&lt;=VLOOKUP(Form!O$29,A$41:B$51,2,FALSE),(VLOOKUP(F$48-(VLOOKUP(Form!O$30,A$36:B$38,2,FALSE)),A$4:C$27,3,FALSE)*Form!O$25),F$49*Form!O$25)</f>
        <v>179172.45856653451</v>
      </c>
      <c r="G22" s="70">
        <f ca="1">IF(L22&lt;=VLOOKUP(Form!O$29,A$41:B$51,2,FALSE),(VLOOKUP(Form!O$26-(VLOOKUP(Form!O$30,A$36:B$38,2,FALSE)),A$4:C$27,3,FALSE)*Form!O$25),F$45*Form!O$25)</f>
        <v>206994.07930631476</v>
      </c>
      <c r="H22" s="71">
        <f t="shared" si="0"/>
        <v>30516.360151201952</v>
      </c>
      <c r="I22" s="71">
        <f t="shared" ca="1" si="1"/>
        <v>209688.81871773646</v>
      </c>
      <c r="J22" s="41">
        <f ca="1">IF(L22&lt;=VLOOKUP(Form!O$29,A$41:B$51,2,FALSE),(VLOOKUP(F$48-(VLOOKUP(Form!O$30,A$36:B$38,2,FALSE)),A$4:C$27,2,FALSE)*Form!O$25),F$50*Form!O$25)</f>
        <v>138618.93335612168</v>
      </c>
      <c r="K22" s="41">
        <f ca="1">IF(L22&lt;=VLOOKUP(Form!O$29,A$41:B$51,2,FALSE),(VLOOKUP(Form!O$26-(VLOOKUP(Form!O$30,A$36:B$38,2,FALSE)),A$4:C$27,2,FALSE)*Form!O$25),F$46*Form!O$25)</f>
        <v>155514.16174918445</v>
      </c>
      <c r="L22" s="76">
        <f t="shared" ca="1" si="2"/>
        <v>0.19393674440543673</v>
      </c>
      <c r="M22" s="25"/>
      <c r="N22" s="39">
        <f t="shared" si="5"/>
        <v>2035</v>
      </c>
      <c r="O22" s="37">
        <f>Form!O$43</f>
        <v>2</v>
      </c>
      <c r="P22" s="37">
        <v>2</v>
      </c>
      <c r="Q22" s="37">
        <f>P$4*O$47*O$46*Form!O$50</f>
        <v>7884</v>
      </c>
      <c r="R22" s="37">
        <f t="shared" si="3"/>
        <v>15768</v>
      </c>
      <c r="S22" s="44">
        <f>Form!O$51</f>
        <v>3.85E-2</v>
      </c>
      <c r="T22" s="45">
        <f t="shared" si="6"/>
        <v>607068</v>
      </c>
      <c r="U22" s="41">
        <f>IF(Form!O$52&gt;=X22,Q$57,0)</f>
        <v>452551.63984879805</v>
      </c>
      <c r="V22" s="45">
        <f t="shared" si="7"/>
        <v>124000</v>
      </c>
      <c r="W22" s="46">
        <f t="shared" si="8"/>
        <v>30516.360151201952</v>
      </c>
      <c r="X22">
        <f t="shared" si="9"/>
        <v>17</v>
      </c>
      <c r="Y22" s="24"/>
    </row>
    <row r="23" spans="1:29" ht="15.75">
      <c r="A23" s="29">
        <v>20</v>
      </c>
      <c r="B23" s="30">
        <v>231.83805391639481</v>
      </c>
      <c r="C23" s="32">
        <v>311.09590391534903</v>
      </c>
      <c r="E23" s="39">
        <f t="shared" si="4"/>
        <v>2036</v>
      </c>
      <c r="F23" s="70">
        <f ca="1">IF(L23&lt;=VLOOKUP(Form!O$29,A$41:B$51,2,FALSE),(VLOOKUP(F$48-(VLOOKUP(Form!O$30,A$36:B$38,2,FALSE)),A$4:C$27,3,FALSE)*Form!O$25),F$49*Form!O$25)</f>
        <v>179172.45856653451</v>
      </c>
      <c r="G23" s="70">
        <f ca="1">IF(L23&lt;=VLOOKUP(Form!O$29,A$41:B$51,2,FALSE),(VLOOKUP(Form!O$26-(VLOOKUP(Form!O$30,A$36:B$38,2,FALSE)),A$4:C$27,3,FALSE)*Form!O$25),F$45*Form!O$25)</f>
        <v>206994.07930631476</v>
      </c>
      <c r="H23" s="71">
        <f t="shared" si="0"/>
        <v>30516.360151201952</v>
      </c>
      <c r="I23" s="71">
        <f t="shared" ca="1" si="1"/>
        <v>209688.81871773646</v>
      </c>
      <c r="J23" s="41">
        <f ca="1">IF(L23&lt;=VLOOKUP(Form!O$29,A$41:B$51,2,FALSE),(VLOOKUP(F$48-(VLOOKUP(Form!O$30,A$36:B$38,2,FALSE)),A$4:C$27,2,FALSE)*Form!O$25),F$50*Form!O$25)</f>
        <v>138618.93335612168</v>
      </c>
      <c r="K23" s="41">
        <f ca="1">IF(L23&lt;=VLOOKUP(Form!O$29,A$41:B$51,2,FALSE),(VLOOKUP(Form!O$26-(VLOOKUP(Form!O$30,A$36:B$38,2,FALSE)),A$4:C$27,2,FALSE)*Form!O$25),F$46*Form!O$25)</f>
        <v>155514.16174918445</v>
      </c>
      <c r="L23" s="76">
        <f ca="1">RAND()</f>
        <v>0.98074756272719665</v>
      </c>
      <c r="M23" s="25"/>
      <c r="N23" s="39">
        <f t="shared" si="5"/>
        <v>2036</v>
      </c>
      <c r="O23" s="37">
        <f>Form!O$43</f>
        <v>2</v>
      </c>
      <c r="P23" s="37">
        <v>2</v>
      </c>
      <c r="Q23" s="37">
        <f>P$4*O$47*O$46*Form!O$50</f>
        <v>7884</v>
      </c>
      <c r="R23" s="37">
        <f t="shared" si="3"/>
        <v>15768</v>
      </c>
      <c r="S23" s="44">
        <f>Form!O$51</f>
        <v>3.85E-2</v>
      </c>
      <c r="T23" s="45">
        <f t="shared" si="6"/>
        <v>607068</v>
      </c>
      <c r="U23" s="41">
        <f>IF(Form!O$52&gt;=X23,Q$57,0)</f>
        <v>452551.63984879805</v>
      </c>
      <c r="V23" s="45">
        <f t="shared" si="7"/>
        <v>124000</v>
      </c>
      <c r="W23" s="46">
        <f>T23-U23-V23</f>
        <v>30516.360151201952</v>
      </c>
      <c r="X23">
        <f t="shared" si="9"/>
        <v>18</v>
      </c>
      <c r="Y23" s="24"/>
    </row>
    <row r="24" spans="1:29" ht="15.75">
      <c r="A24" s="29">
        <v>21</v>
      </c>
      <c r="B24" s="30">
        <v>234.77635450649268</v>
      </c>
      <c r="C24" s="32">
        <v>314.10835969618103</v>
      </c>
      <c r="E24" s="39">
        <f t="shared" si="4"/>
        <v>2037</v>
      </c>
      <c r="F24" s="70">
        <f ca="1">IF(L24&lt;=VLOOKUP(Form!O$29,A$41:B$51,2,FALSE),(VLOOKUP(F$48-(VLOOKUP(Form!O$30,A$36:B$38,2,FALSE)),A$4:C$27,3,FALSE)*Form!O$25),F$49*Form!O$25)</f>
        <v>179172.45856653451</v>
      </c>
      <c r="G24" s="70">
        <f ca="1">IF(L24&lt;=VLOOKUP(Form!O$29,A$41:B$51,2,FALSE),(VLOOKUP(Form!O$26-(VLOOKUP(Form!O$30,A$36:B$38,2,FALSE)),A$4:C$27,3,FALSE)*Form!O$25),F$45*Form!O$25)</f>
        <v>206994.07930631476</v>
      </c>
      <c r="H24" s="71">
        <f t="shared" si="0"/>
        <v>30516.360151201952</v>
      </c>
      <c r="I24" s="71">
        <f t="shared" ca="1" si="1"/>
        <v>209688.81871773646</v>
      </c>
      <c r="J24" s="41">
        <f ca="1">IF(L24&lt;=VLOOKUP(Form!O$29,A$41:B$51,2,FALSE),(VLOOKUP(F$48-(VLOOKUP(Form!O$30,A$36:B$38,2,FALSE)),A$4:C$27,2,FALSE)*Form!O$25),F$50*Form!O$25)</f>
        <v>138618.93335612168</v>
      </c>
      <c r="K24" s="41">
        <f ca="1">IF(L24&lt;=VLOOKUP(Form!O$29,A$41:B$51,2,FALSE),(VLOOKUP(Form!O$26-(VLOOKUP(Form!O$30,A$36:B$38,2,FALSE)),A$4:C$27,2,FALSE)*Form!O$25),F$46*Form!O$25)</f>
        <v>155514.16174918445</v>
      </c>
      <c r="L24" s="42">
        <f t="shared" ref="L24:L43" ca="1" si="10">RAND()</f>
        <v>0.84184689115991074</v>
      </c>
      <c r="M24" s="25"/>
      <c r="N24" s="39">
        <f t="shared" si="5"/>
        <v>2037</v>
      </c>
      <c r="O24" s="37">
        <f>Form!O$43</f>
        <v>2</v>
      </c>
      <c r="P24" s="37">
        <v>2</v>
      </c>
      <c r="Q24" s="37">
        <f>P$4*O$47*O$46*Form!O$50</f>
        <v>7884</v>
      </c>
      <c r="R24" s="37">
        <f t="shared" si="3"/>
        <v>15768</v>
      </c>
      <c r="S24" s="44">
        <f>Form!O$51</f>
        <v>3.85E-2</v>
      </c>
      <c r="T24" s="45">
        <f t="shared" si="6"/>
        <v>607068</v>
      </c>
      <c r="U24" s="41">
        <f>IF(Form!O$52&gt;=X24,Q$57,0)</f>
        <v>452551.63984879805</v>
      </c>
      <c r="V24" s="45">
        <f t="shared" si="7"/>
        <v>124000</v>
      </c>
      <c r="W24" s="46">
        <f t="shared" ref="W24:W43" si="11">T24-U24-V24</f>
        <v>30516.360151201952</v>
      </c>
      <c r="X24">
        <f t="shared" si="9"/>
        <v>19</v>
      </c>
      <c r="Y24" s="24"/>
    </row>
    <row r="25" spans="1:29" ht="15.75">
      <c r="A25" s="29">
        <v>22</v>
      </c>
      <c r="B25" s="30">
        <v>237.06169940990213</v>
      </c>
      <c r="C25" s="32">
        <v>315.78471419238298</v>
      </c>
      <c r="E25" s="39">
        <f t="shared" si="4"/>
        <v>2038</v>
      </c>
      <c r="F25" s="70">
        <f ca="1">IF(L25&lt;=VLOOKUP(Form!O$29,A$41:B$51,2,FALSE),(VLOOKUP(F$48-(VLOOKUP(Form!O$30,A$36:B$38,2,FALSE)),A$4:C$27,3,FALSE)*Form!O$25),F$49*Form!O$25)</f>
        <v>179172.45856653451</v>
      </c>
      <c r="G25" s="70">
        <f ca="1">IF(L25&lt;=VLOOKUP(Form!O$29,A$41:B$51,2,FALSE),(VLOOKUP(Form!O$26-(VLOOKUP(Form!O$30,A$36:B$38,2,FALSE)),A$4:C$27,3,FALSE)*Form!O$25),F$45*Form!O$25)</f>
        <v>206994.07930631476</v>
      </c>
      <c r="H25" s="71">
        <f t="shared" si="0"/>
        <v>30516.360151201952</v>
      </c>
      <c r="I25" s="71">
        <f t="shared" ca="1" si="1"/>
        <v>209688.81871773646</v>
      </c>
      <c r="J25" s="41">
        <f ca="1">IF(L25&lt;=VLOOKUP(Form!O$29,A$41:B$51,2,FALSE),(VLOOKUP(F$48-(VLOOKUP(Form!O$30,A$36:B$38,2,FALSE)),A$4:C$27,2,FALSE)*Form!O$25),F$50*Form!O$25)</f>
        <v>138618.93335612168</v>
      </c>
      <c r="K25" s="41">
        <f ca="1">IF(L25&lt;=VLOOKUP(Form!O$29,A$41:B$51,2,FALSE),(VLOOKUP(Form!O$26-(VLOOKUP(Form!O$30,A$36:B$38,2,FALSE)),A$4:C$27,2,FALSE)*Form!O$25),F$46*Form!O$25)</f>
        <v>155514.16174918445</v>
      </c>
      <c r="L25" s="42">
        <f t="shared" ca="1" si="10"/>
        <v>0.82127501309456619</v>
      </c>
      <c r="M25" s="25"/>
      <c r="N25" s="39">
        <f t="shared" si="5"/>
        <v>2038</v>
      </c>
      <c r="O25" s="37">
        <f>Form!O$43</f>
        <v>2</v>
      </c>
      <c r="P25" s="37">
        <v>2</v>
      </c>
      <c r="Q25" s="37">
        <f>P$4*O$47*O$46*Form!O$50</f>
        <v>7884</v>
      </c>
      <c r="R25" s="37">
        <f t="shared" si="3"/>
        <v>15768</v>
      </c>
      <c r="S25" s="44">
        <f>Form!O$51</f>
        <v>3.85E-2</v>
      </c>
      <c r="T25" s="45">
        <f t="shared" si="6"/>
        <v>607068</v>
      </c>
      <c r="U25" s="41">
        <f>IF(Form!O$52&gt;=X25,Q$57,0)</f>
        <v>452551.63984879805</v>
      </c>
      <c r="V25" s="45">
        <f t="shared" si="7"/>
        <v>124000</v>
      </c>
      <c r="W25" s="46">
        <f t="shared" si="11"/>
        <v>30516.360151201952</v>
      </c>
      <c r="X25">
        <f t="shared" si="9"/>
        <v>20</v>
      </c>
      <c r="Y25" s="24"/>
    </row>
    <row r="26" spans="1:29" ht="15.75">
      <c r="A26" s="29">
        <v>23</v>
      </c>
      <c r="B26" s="30">
        <v>238.6940886266232</v>
      </c>
      <c r="C26" s="32">
        <v>316.12496740395602</v>
      </c>
      <c r="E26" s="39">
        <f t="shared" si="4"/>
        <v>2039</v>
      </c>
      <c r="F26" s="70">
        <f ca="1">IF(L26&lt;=VLOOKUP(Form!O$29,A$41:B$51,2,FALSE),(VLOOKUP(F$48-(VLOOKUP(Form!O$30,A$36:B$38,2,FALSE)),A$4:C$27,3,FALSE)*Form!O$25),F$49*Form!O$25)</f>
        <v>179172.45856653451</v>
      </c>
      <c r="G26" s="70">
        <f ca="1">IF(L26&lt;=VLOOKUP(Form!O$29,A$41:B$51,2,FALSE),(VLOOKUP(Form!O$26-(VLOOKUP(Form!O$30,A$36:B$38,2,FALSE)),A$4:C$27,3,FALSE)*Form!O$25),F$45*Form!O$25)</f>
        <v>206994.07930631476</v>
      </c>
      <c r="H26" s="71">
        <f t="shared" si="0"/>
        <v>283068</v>
      </c>
      <c r="I26" s="71">
        <f t="shared" ca="1" si="1"/>
        <v>462240.45856653451</v>
      </c>
      <c r="J26" s="41">
        <f ca="1">IF(L26&lt;=VLOOKUP(Form!O$29,A$41:B$51,2,FALSE),(VLOOKUP(F$48-(VLOOKUP(Form!O$30,A$36:B$38,2,FALSE)),A$4:C$27,2,FALSE)*Form!O$25),F$50*Form!O$25)</f>
        <v>138618.93335612168</v>
      </c>
      <c r="K26" s="41">
        <f ca="1">IF(L26&lt;=VLOOKUP(Form!O$29,A$41:B$51,2,FALSE),(VLOOKUP(Form!O$26-(VLOOKUP(Form!O$30,A$36:B$38,2,FALSE)),A$4:C$27,2,FALSE)*Form!O$25),F$46*Form!O$25)</f>
        <v>155514.16174918445</v>
      </c>
      <c r="L26" s="42">
        <f t="shared" ca="1" si="10"/>
        <v>0.64743395530193681</v>
      </c>
      <c r="N26" s="39">
        <f t="shared" si="5"/>
        <v>2039</v>
      </c>
      <c r="O26" s="37">
        <f>Form!O$43</f>
        <v>2</v>
      </c>
      <c r="P26" s="37">
        <v>2</v>
      </c>
      <c r="Q26" s="37">
        <f>P$4*O$47*O$46*Form!O$50</f>
        <v>7884</v>
      </c>
      <c r="R26" s="37">
        <f t="shared" si="3"/>
        <v>15768</v>
      </c>
      <c r="S26" s="44">
        <f>Form!O$51</f>
        <v>3.85E-2</v>
      </c>
      <c r="T26" s="45">
        <f t="shared" si="6"/>
        <v>607068</v>
      </c>
      <c r="U26" s="41">
        <f>IF(Form!O$52&gt;=X26,Q$57,0)</f>
        <v>0</v>
      </c>
      <c r="V26" s="45">
        <f>O$4*P$4*O$49 +(Form!O$43*Form!O$46)</f>
        <v>324000</v>
      </c>
      <c r="W26" s="46">
        <f t="shared" si="11"/>
        <v>283068</v>
      </c>
      <c r="X26">
        <f t="shared" si="9"/>
        <v>21</v>
      </c>
      <c r="Y26" s="24"/>
    </row>
    <row r="27" spans="1:29" ht="15.75">
      <c r="A27" s="33">
        <v>24</v>
      </c>
      <c r="B27" s="34">
        <v>239.67352215665582</v>
      </c>
      <c r="C27" s="35">
        <v>315.12911933089998</v>
      </c>
      <c r="E27" s="39">
        <f t="shared" si="4"/>
        <v>2040</v>
      </c>
      <c r="F27" s="70">
        <f ca="1">IF(L27&lt;=VLOOKUP(Form!O$29,A$41:B$51,2,FALSE),(VLOOKUP(F$48-(VLOOKUP(Form!O$30,A$36:B$38,2,FALSE)),A$4:C$27,3,FALSE)*Form!O$25),F$49*Form!O$25)</f>
        <v>179172.45856653451</v>
      </c>
      <c r="G27" s="70">
        <f ca="1">IF(L27&lt;=VLOOKUP(Form!O$29,A$41:B$51,2,FALSE),(VLOOKUP(Form!O$26-(VLOOKUP(Form!O$30,A$36:B$38,2,FALSE)),A$4:C$27,3,FALSE)*Form!O$25),F$45*Form!O$25)</f>
        <v>206994.07930631476</v>
      </c>
      <c r="H27" s="71">
        <f t="shared" si="0"/>
        <v>283068</v>
      </c>
      <c r="I27" s="71">
        <f t="shared" ca="1" si="1"/>
        <v>462240.45856653451</v>
      </c>
      <c r="J27" s="41">
        <f ca="1">IF(L27&lt;=VLOOKUP(Form!O$29,A$41:B$51,2,FALSE),(VLOOKUP(F$48-(VLOOKUP(Form!O$30,A$36:B$38,2,FALSE)),A$4:C$27,2,FALSE)*Form!O$25),F$50*Form!O$25)</f>
        <v>138618.93335612168</v>
      </c>
      <c r="K27" s="41">
        <f ca="1">IF(L27&lt;=VLOOKUP(Form!O$29,A$41:B$51,2,FALSE),(VLOOKUP(Form!O$26-(VLOOKUP(Form!O$30,A$36:B$38,2,FALSE)),A$4:C$27,2,FALSE)*Form!O$25),F$46*Form!O$25)</f>
        <v>155514.16174918445</v>
      </c>
      <c r="L27" s="42">
        <f t="shared" ca="1" si="10"/>
        <v>0.30350189145421003</v>
      </c>
      <c r="N27" s="39">
        <f t="shared" si="5"/>
        <v>2040</v>
      </c>
      <c r="O27" s="37">
        <f>Form!O$43</f>
        <v>2</v>
      </c>
      <c r="P27" s="37">
        <v>2</v>
      </c>
      <c r="Q27" s="37">
        <f>P$4*O$47*O$46*Form!O$50</f>
        <v>7884</v>
      </c>
      <c r="R27" s="37">
        <f t="shared" si="3"/>
        <v>15768</v>
      </c>
      <c r="S27" s="44">
        <f>Form!O$51</f>
        <v>3.85E-2</v>
      </c>
      <c r="T27" s="45">
        <f t="shared" si="6"/>
        <v>607068</v>
      </c>
      <c r="U27" s="41">
        <f>IF(Form!O$52&gt;=X27,Q$57,0)</f>
        <v>0</v>
      </c>
      <c r="V27" s="45">
        <f>O$4*P$4*O$49 +(Form!O$43*Form!O$46)</f>
        <v>324000</v>
      </c>
      <c r="W27" s="46">
        <f t="shared" si="11"/>
        <v>283068</v>
      </c>
      <c r="X27">
        <f t="shared" si="9"/>
        <v>22</v>
      </c>
      <c r="Y27" s="24"/>
    </row>
    <row r="28" spans="1:29">
      <c r="E28" s="39">
        <f t="shared" si="4"/>
        <v>2041</v>
      </c>
      <c r="F28" s="70">
        <f ca="1">IF(L28&lt;=VLOOKUP(Form!O$29,A$41:B$51,2,FALSE),(VLOOKUP(F$48-(VLOOKUP(Form!O$30,A$36:B$38,2,FALSE)),A$4:C$27,3,FALSE)*Form!O$25),F$49*Form!O$25)</f>
        <v>179172.45856653451</v>
      </c>
      <c r="G28" s="70">
        <f ca="1">IF(L28&lt;=VLOOKUP(Form!O$29,A$41:B$51,2,FALSE),(VLOOKUP(Form!O$26-(VLOOKUP(Form!O$30,A$36:B$38,2,FALSE)),A$4:C$27,3,FALSE)*Form!O$25),F$45*Form!O$25)</f>
        <v>206994.07930631476</v>
      </c>
      <c r="H28" s="71">
        <f t="shared" si="0"/>
        <v>283068</v>
      </c>
      <c r="I28" s="71">
        <f t="shared" ca="1" si="1"/>
        <v>462240.45856653451</v>
      </c>
      <c r="J28" s="41">
        <f ca="1">IF(L28&lt;=VLOOKUP(Form!O$29,A$41:B$51,2,FALSE),(VLOOKUP(F$48-(VLOOKUP(Form!O$30,A$36:B$38,2,FALSE)),A$4:C$27,2,FALSE)*Form!O$25),F$50*Form!O$25)</f>
        <v>138618.93335612168</v>
      </c>
      <c r="K28" s="41">
        <f ca="1">IF(L28&lt;=VLOOKUP(Form!O$29,A$41:B$51,2,FALSE),(VLOOKUP(Form!O$26-(VLOOKUP(Form!O$30,A$36:B$38,2,FALSE)),A$4:C$27,2,FALSE)*Form!O$25),F$46*Form!O$25)</f>
        <v>155514.16174918445</v>
      </c>
      <c r="L28" s="42">
        <f t="shared" ca="1" si="10"/>
        <v>0.71723257696733256</v>
      </c>
      <c r="N28" s="39">
        <f t="shared" si="5"/>
        <v>2041</v>
      </c>
      <c r="O28" s="37">
        <f>Form!O$43</f>
        <v>2</v>
      </c>
      <c r="P28" s="37">
        <v>2</v>
      </c>
      <c r="Q28" s="37">
        <f>P$4*O$47*O$46*Form!O$50</f>
        <v>7884</v>
      </c>
      <c r="R28" s="37">
        <f t="shared" si="3"/>
        <v>15768</v>
      </c>
      <c r="S28" s="44">
        <f>Form!O$51</f>
        <v>3.85E-2</v>
      </c>
      <c r="T28" s="45">
        <f t="shared" si="6"/>
        <v>607068</v>
      </c>
      <c r="U28" s="41">
        <f>IF(Form!O$52&gt;=X28,Q$57,0)</f>
        <v>0</v>
      </c>
      <c r="V28" s="45">
        <f>O$4*P$4*O$49 +(Form!O$43*Form!O$46)</f>
        <v>324000</v>
      </c>
      <c r="W28" s="46">
        <f t="shared" si="11"/>
        <v>283068</v>
      </c>
      <c r="X28">
        <f t="shared" si="9"/>
        <v>23</v>
      </c>
      <c r="Y28" s="24"/>
    </row>
    <row r="29" spans="1:29">
      <c r="E29" s="39">
        <f t="shared" si="4"/>
        <v>2042</v>
      </c>
      <c r="F29" s="70">
        <f ca="1">IF(L29&lt;=VLOOKUP(Form!O$29,A$41:B$51,2,FALSE),(VLOOKUP(F$48-(VLOOKUP(Form!O$30,A$36:B$38,2,FALSE)),A$4:C$27,3,FALSE)*Form!O$25),F$49*Form!O$25)</f>
        <v>179172.45856653451</v>
      </c>
      <c r="G29" s="70">
        <f ca="1">IF(L29&lt;=VLOOKUP(Form!O$29,A$41:B$51,2,FALSE),(VLOOKUP(Form!O$26-(VLOOKUP(Form!O$30,A$36:B$38,2,FALSE)),A$4:C$27,3,FALSE)*Form!O$25),F$45*Form!O$25)</f>
        <v>206994.07930631476</v>
      </c>
      <c r="H29" s="71">
        <f t="shared" si="0"/>
        <v>283068</v>
      </c>
      <c r="I29" s="71">
        <f t="shared" ca="1" si="1"/>
        <v>462240.45856653451</v>
      </c>
      <c r="J29" s="41">
        <f ca="1">IF(L29&lt;=VLOOKUP(Form!O$29,A$41:B$51,2,FALSE),(VLOOKUP(F$48-(VLOOKUP(Form!O$30,A$36:B$38,2,FALSE)),A$4:C$27,2,FALSE)*Form!O$25),F$50*Form!O$25)</f>
        <v>138618.93335612168</v>
      </c>
      <c r="K29" s="41">
        <f ca="1">IF(L29&lt;=VLOOKUP(Form!O$29,A$41:B$51,2,FALSE),(VLOOKUP(Form!O$26-(VLOOKUP(Form!O$30,A$36:B$38,2,FALSE)),A$4:C$27,2,FALSE)*Form!O$25),F$46*Form!O$25)</f>
        <v>155514.16174918445</v>
      </c>
      <c r="L29" s="42">
        <f t="shared" ca="1" si="10"/>
        <v>0.14302794013326647</v>
      </c>
      <c r="N29" s="39">
        <f t="shared" si="5"/>
        <v>2042</v>
      </c>
      <c r="O29" s="37">
        <f>Form!O$43</f>
        <v>2</v>
      </c>
      <c r="P29" s="37">
        <v>2</v>
      </c>
      <c r="Q29" s="37">
        <f>P$4*O$47*O$46*Form!O$50</f>
        <v>7884</v>
      </c>
      <c r="R29" s="37">
        <f t="shared" si="3"/>
        <v>15768</v>
      </c>
      <c r="S29" s="44">
        <f>Form!O$51</f>
        <v>3.85E-2</v>
      </c>
      <c r="T29" s="45">
        <f t="shared" si="6"/>
        <v>607068</v>
      </c>
      <c r="U29" s="41">
        <f>IF(Form!O$52&gt;=X29,Q$57,0)</f>
        <v>0</v>
      </c>
      <c r="V29" s="45">
        <f>O$4*P$4*O$49 +(Form!O$43*Form!O$46)</f>
        <v>324000</v>
      </c>
      <c r="W29" s="46">
        <f t="shared" si="11"/>
        <v>283068</v>
      </c>
      <c r="X29">
        <f t="shared" si="9"/>
        <v>24</v>
      </c>
    </row>
    <row r="30" spans="1:29">
      <c r="E30" s="39">
        <f t="shared" si="4"/>
        <v>2043</v>
      </c>
      <c r="F30" s="70">
        <f ca="1">IF(L30&lt;=VLOOKUP(Form!O$29,A$41:B$51,2,FALSE),(VLOOKUP(F$48-(VLOOKUP(Form!O$30,A$36:B$38,2,FALSE)),A$4:C$27,3,FALSE)*Form!O$25),F$49*Form!O$25)</f>
        <v>179172.45856653451</v>
      </c>
      <c r="G30" s="70">
        <f ca="1">IF(L30&lt;=VLOOKUP(Form!O$29,A$41:B$51,2,FALSE),(VLOOKUP(Form!O$26-(VLOOKUP(Form!O$30,A$36:B$38,2,FALSE)),A$4:C$27,3,FALSE)*Form!O$25),F$45*Form!O$25)</f>
        <v>206994.07930631476</v>
      </c>
      <c r="H30" s="71">
        <f t="shared" si="0"/>
        <v>283068</v>
      </c>
      <c r="I30" s="71">
        <f t="shared" ca="1" si="1"/>
        <v>462240.45856653451</v>
      </c>
      <c r="J30" s="41">
        <f ca="1">IF(L30&lt;=VLOOKUP(Form!O$29,A$41:B$51,2,FALSE),(VLOOKUP(F$48-(VLOOKUP(Form!O$30,A$36:B$38,2,FALSE)),A$4:C$27,2,FALSE)*Form!O$25),F$50*Form!O$25)</f>
        <v>138618.93335612168</v>
      </c>
      <c r="K30" s="41">
        <f ca="1">IF(L30&lt;=VLOOKUP(Form!O$29,A$41:B$51,2,FALSE),(VLOOKUP(Form!O$26-(VLOOKUP(Form!O$30,A$36:B$38,2,FALSE)),A$4:C$27,2,FALSE)*Form!O$25),F$46*Form!O$25)</f>
        <v>155514.16174918445</v>
      </c>
      <c r="L30" s="42">
        <f t="shared" ca="1" si="10"/>
        <v>0.71028938919403162</v>
      </c>
      <c r="N30" s="39">
        <f t="shared" si="5"/>
        <v>2043</v>
      </c>
      <c r="O30" s="37">
        <f>Form!O$43</f>
        <v>2</v>
      </c>
      <c r="P30" s="37">
        <v>2</v>
      </c>
      <c r="Q30" s="37">
        <f>P$4*O$47*O$46*Form!O$50</f>
        <v>7884</v>
      </c>
      <c r="R30" s="37">
        <f t="shared" si="3"/>
        <v>15768</v>
      </c>
      <c r="S30" s="44">
        <f>Form!O$51</f>
        <v>3.85E-2</v>
      </c>
      <c r="T30" s="45">
        <f t="shared" si="6"/>
        <v>607068</v>
      </c>
      <c r="U30" s="41">
        <f>IF(Form!O$52&gt;=X30,Q$57,0)</f>
        <v>0</v>
      </c>
      <c r="V30" s="45">
        <f>O$4*P$4*O$49 +(Form!O$43*Form!O$46)</f>
        <v>324000</v>
      </c>
      <c r="W30" s="46">
        <f t="shared" si="11"/>
        <v>283068</v>
      </c>
      <c r="X30">
        <f t="shared" si="9"/>
        <v>25</v>
      </c>
    </row>
    <row r="31" spans="1:29">
      <c r="A31" s="517" t="s">
        <v>33</v>
      </c>
      <c r="B31" s="518"/>
      <c r="E31" s="39">
        <f t="shared" si="4"/>
        <v>2044</v>
      </c>
      <c r="F31" s="70">
        <f ca="1">IF(L31&lt;=VLOOKUP(Form!O$29,A$41:B$51,2,FALSE),(VLOOKUP(F$48-(VLOOKUP(Form!O$30,A$36:B$38,2,FALSE)),A$4:C$27,3,FALSE)*Form!O$25),F$49*Form!O$25)</f>
        <v>179172.45856653451</v>
      </c>
      <c r="G31" s="70">
        <f ca="1">IF(L31&lt;=VLOOKUP(Form!O$29,A$41:B$51,2,FALSE),(VLOOKUP(Form!O$26-(VLOOKUP(Form!O$30,A$36:B$38,2,FALSE)),A$4:C$27,3,FALSE)*Form!O$25),F$45*Form!O$25)</f>
        <v>206994.07930631476</v>
      </c>
      <c r="H31" s="71">
        <f t="shared" si="0"/>
        <v>283068</v>
      </c>
      <c r="I31" s="71">
        <f t="shared" ca="1" si="1"/>
        <v>462240.45856653451</v>
      </c>
      <c r="J31" s="41">
        <f ca="1">IF(L31&lt;=VLOOKUP(Form!O$29,A$41:B$51,2,FALSE),(VLOOKUP(F$48-(VLOOKUP(Form!O$30,A$36:B$38,2,FALSE)),A$4:C$27,2,FALSE)*Form!O$25),F$50*Form!O$25)</f>
        <v>138618.93335612168</v>
      </c>
      <c r="K31" s="41">
        <f ca="1">IF(L31&lt;=VLOOKUP(Form!O$29,A$41:B$51,2,FALSE),(VLOOKUP(Form!O$26-(VLOOKUP(Form!O$30,A$36:B$38,2,FALSE)),A$4:C$27,2,FALSE)*Form!O$25),F$46*Form!O$25)</f>
        <v>155514.16174918445</v>
      </c>
      <c r="L31" s="42">
        <f t="shared" ca="1" si="10"/>
        <v>5.0360808883727959E-2</v>
      </c>
      <c r="N31" s="39">
        <f t="shared" si="5"/>
        <v>2044</v>
      </c>
      <c r="O31" s="37">
        <f>Form!O$43</f>
        <v>2</v>
      </c>
      <c r="P31" s="37">
        <v>2</v>
      </c>
      <c r="Q31" s="37">
        <f>P$4*O$47*O$46*Form!O$50</f>
        <v>7884</v>
      </c>
      <c r="R31" s="37">
        <f t="shared" si="3"/>
        <v>15768</v>
      </c>
      <c r="S31" s="44">
        <f>Form!O$51</f>
        <v>3.85E-2</v>
      </c>
      <c r="T31" s="45">
        <f t="shared" si="6"/>
        <v>607068</v>
      </c>
      <c r="U31" s="41">
        <f>IF(Form!O$52&gt;=X31,Q$57,0)</f>
        <v>0</v>
      </c>
      <c r="V31" s="45">
        <f>O$4*P$4*O$49 +(Form!O$43*Form!O$46)</f>
        <v>324000</v>
      </c>
      <c r="W31" s="46">
        <f t="shared" si="11"/>
        <v>283068</v>
      </c>
      <c r="X31">
        <f t="shared" si="9"/>
        <v>26</v>
      </c>
    </row>
    <row r="32" spans="1:29">
      <c r="A32" s="59" t="s">
        <v>26</v>
      </c>
      <c r="B32" s="50"/>
      <c r="E32" s="39">
        <f t="shared" si="4"/>
        <v>2045</v>
      </c>
      <c r="F32" s="70">
        <f ca="1">IF(L32&lt;=VLOOKUP(Form!O$29,A$41:B$51,2,FALSE),(VLOOKUP(F$48-(VLOOKUP(Form!O$30,A$36:B$38,2,FALSE)),A$4:C$27,3,FALSE)*Form!O$25),F$49*Form!O$25)</f>
        <v>179172.45856653451</v>
      </c>
      <c r="G32" s="70">
        <f ca="1">IF(L32&lt;=VLOOKUP(Form!O$29,A$41:B$51,2,FALSE),(VLOOKUP(Form!O$26-(VLOOKUP(Form!O$30,A$36:B$38,2,FALSE)),A$4:C$27,3,FALSE)*Form!O$25),F$45*Form!O$25)</f>
        <v>206994.07930631476</v>
      </c>
      <c r="H32" s="71">
        <f t="shared" si="0"/>
        <v>283068</v>
      </c>
      <c r="I32" s="71">
        <f t="shared" ca="1" si="1"/>
        <v>462240.45856653451</v>
      </c>
      <c r="J32" s="41">
        <f ca="1">IF(L32&lt;=VLOOKUP(Form!O$29,A$41:B$51,2,FALSE),(VLOOKUP(F$48-(VLOOKUP(Form!O$30,A$36:B$38,2,FALSE)),A$4:C$27,2,FALSE)*Form!O$25),F$50*Form!O$25)</f>
        <v>138618.93335612168</v>
      </c>
      <c r="K32" s="41">
        <f ca="1">IF(L32&lt;=VLOOKUP(Form!O$29,A$41:B$51,2,FALSE),(VLOOKUP(Form!O$26-(VLOOKUP(Form!O$30,A$36:B$38,2,FALSE)),A$4:C$27,2,FALSE)*Form!O$25),F$46*Form!O$25)</f>
        <v>155514.16174918445</v>
      </c>
      <c r="L32" s="42">
        <f t="shared" ca="1" si="10"/>
        <v>2.277180591437733E-2</v>
      </c>
      <c r="N32" s="39">
        <f t="shared" si="5"/>
        <v>2045</v>
      </c>
      <c r="O32" s="37">
        <f>Form!O$43</f>
        <v>2</v>
      </c>
      <c r="P32" s="37">
        <v>2</v>
      </c>
      <c r="Q32" s="37">
        <f>P$4*O$47*O$46*Form!O$50</f>
        <v>7884</v>
      </c>
      <c r="R32" s="37">
        <f t="shared" si="3"/>
        <v>15768</v>
      </c>
      <c r="S32" s="44">
        <f>Form!O$51</f>
        <v>3.85E-2</v>
      </c>
      <c r="T32" s="45">
        <f t="shared" si="6"/>
        <v>607068</v>
      </c>
      <c r="U32" s="41">
        <f>IF(Form!O$52&gt;=X32,Q$57,0)</f>
        <v>0</v>
      </c>
      <c r="V32" s="45">
        <f>O$4*P$4*O$49 +(Form!O$43*Form!O$46)</f>
        <v>324000</v>
      </c>
      <c r="W32" s="46">
        <f t="shared" si="11"/>
        <v>283068</v>
      </c>
      <c r="X32">
        <f t="shared" si="9"/>
        <v>27</v>
      </c>
    </row>
    <row r="33" spans="1:24">
      <c r="A33" s="11" t="s">
        <v>27</v>
      </c>
      <c r="B33" s="13"/>
      <c r="E33" s="39">
        <f t="shared" si="4"/>
        <v>2046</v>
      </c>
      <c r="F33" s="70">
        <f ca="1">IF(L33&lt;=VLOOKUP(Form!O$29,A$41:B$51,2,FALSE),(VLOOKUP(F$48-(VLOOKUP(Form!O$30,A$36:B$38,2,FALSE)),A$4:C$27,3,FALSE)*Form!O$25),F$49*Form!O$25)</f>
        <v>179172.45856653451</v>
      </c>
      <c r="G33" s="70">
        <f ca="1">IF(L33&lt;=VLOOKUP(Form!O$29,A$41:B$51,2,FALSE),(VLOOKUP(Form!O$26-(VLOOKUP(Form!O$30,A$36:B$38,2,FALSE)),A$4:C$27,3,FALSE)*Form!O$25),F$45*Form!O$25)</f>
        <v>206994.07930631476</v>
      </c>
      <c r="H33" s="71">
        <f t="shared" si="0"/>
        <v>283068</v>
      </c>
      <c r="I33" s="71">
        <f t="shared" ca="1" si="1"/>
        <v>462240.45856653451</v>
      </c>
      <c r="J33" s="41">
        <f ca="1">IF(L33&lt;=VLOOKUP(Form!O$29,A$41:B$51,2,FALSE),(VLOOKUP(F$48-(VLOOKUP(Form!O$30,A$36:B$38,2,FALSE)),A$4:C$27,2,FALSE)*Form!O$25),F$50*Form!O$25)</f>
        <v>138618.93335612168</v>
      </c>
      <c r="K33" s="41">
        <f ca="1">IF(L33&lt;=VLOOKUP(Form!O$29,A$41:B$51,2,FALSE),(VLOOKUP(Form!O$26-(VLOOKUP(Form!O$30,A$36:B$38,2,FALSE)),A$4:C$27,2,FALSE)*Form!O$25),F$46*Form!O$25)</f>
        <v>155514.16174918445</v>
      </c>
      <c r="L33" s="42">
        <f t="shared" ca="1" si="10"/>
        <v>0.84358870897884319</v>
      </c>
      <c r="N33" s="39">
        <f t="shared" si="5"/>
        <v>2046</v>
      </c>
      <c r="O33" s="37">
        <f>Form!O$43</f>
        <v>2</v>
      </c>
      <c r="P33" s="37">
        <v>2</v>
      </c>
      <c r="Q33" s="37">
        <f>P$4*O$47*O$46*Form!O$50</f>
        <v>7884</v>
      </c>
      <c r="R33" s="37">
        <f t="shared" si="3"/>
        <v>15768</v>
      </c>
      <c r="S33" s="44">
        <f>Form!O$51</f>
        <v>3.85E-2</v>
      </c>
      <c r="T33" s="45">
        <f t="shared" si="6"/>
        <v>607068</v>
      </c>
      <c r="U33" s="41">
        <f>IF(Form!O$52&gt;=X33,Q$57,0)</f>
        <v>0</v>
      </c>
      <c r="V33" s="45">
        <f>O$4*P$4*O$49 +(Form!O$43*Form!O$46)</f>
        <v>324000</v>
      </c>
      <c r="W33" s="46">
        <f t="shared" si="11"/>
        <v>283068</v>
      </c>
      <c r="X33">
        <f t="shared" si="9"/>
        <v>28</v>
      </c>
    </row>
    <row r="34" spans="1:24">
      <c r="E34" s="39">
        <f t="shared" si="4"/>
        <v>2047</v>
      </c>
      <c r="F34" s="70">
        <f ca="1">IF(L34&lt;=VLOOKUP(Form!O$29,A$41:B$51,2,FALSE),(VLOOKUP(F$48-(VLOOKUP(Form!O$30,A$36:B$38,2,FALSE)),A$4:C$27,3,FALSE)*Form!O$25),F$49*Form!O$25)</f>
        <v>179172.45856653451</v>
      </c>
      <c r="G34" s="70">
        <f ca="1">IF(L34&lt;=VLOOKUP(Form!O$29,A$41:B$51,2,FALSE),(VLOOKUP(Form!O$26-(VLOOKUP(Form!O$30,A$36:B$38,2,FALSE)),A$4:C$27,3,FALSE)*Form!O$25),F$45*Form!O$25)</f>
        <v>206994.07930631476</v>
      </c>
      <c r="H34" s="71">
        <f t="shared" si="0"/>
        <v>283068</v>
      </c>
      <c r="I34" s="71">
        <f t="shared" ca="1" si="1"/>
        <v>462240.45856653451</v>
      </c>
      <c r="J34" s="41">
        <f ca="1">IF(L34&lt;=VLOOKUP(Form!O$29,A$41:B$51,2,FALSE),(VLOOKUP(F$48-(VLOOKUP(Form!O$30,A$36:B$38,2,FALSE)),A$4:C$27,2,FALSE)*Form!O$25),F$50*Form!O$25)</f>
        <v>138618.93335612168</v>
      </c>
      <c r="K34" s="41">
        <f ca="1">IF(L34&lt;=VLOOKUP(Form!O$29,A$41:B$51,2,FALSE),(VLOOKUP(Form!O$26-(VLOOKUP(Form!O$30,A$36:B$38,2,FALSE)),A$4:C$27,2,FALSE)*Form!O$25),F$46*Form!O$25)</f>
        <v>155514.16174918445</v>
      </c>
      <c r="L34" s="42">
        <f t="shared" ca="1" si="10"/>
        <v>0.85270905784140372</v>
      </c>
      <c r="N34" s="39">
        <f t="shared" si="5"/>
        <v>2047</v>
      </c>
      <c r="O34" s="37">
        <f>Form!O$43</f>
        <v>2</v>
      </c>
      <c r="P34" s="37">
        <v>2</v>
      </c>
      <c r="Q34" s="37">
        <f>P$4*O$47*O$46*Form!O$50</f>
        <v>7884</v>
      </c>
      <c r="R34" s="37">
        <f t="shared" si="3"/>
        <v>15768</v>
      </c>
      <c r="S34" s="44">
        <f>Form!O$51</f>
        <v>3.85E-2</v>
      </c>
      <c r="T34" s="45">
        <f t="shared" si="6"/>
        <v>607068</v>
      </c>
      <c r="U34" s="41">
        <f>IF(Form!O$52&gt;=X34,Q$57,0)</f>
        <v>0</v>
      </c>
      <c r="V34" s="45">
        <f>O$4*P$4*O$49 +(Form!O$43*Form!O$46)</f>
        <v>324000</v>
      </c>
      <c r="W34" s="46">
        <f t="shared" si="11"/>
        <v>283068</v>
      </c>
      <c r="X34">
        <f t="shared" si="9"/>
        <v>29</v>
      </c>
    </row>
    <row r="35" spans="1:24">
      <c r="A35" s="515" t="s">
        <v>74</v>
      </c>
      <c r="B35" s="516"/>
      <c r="E35" s="39">
        <f t="shared" si="4"/>
        <v>2048</v>
      </c>
      <c r="F35" s="70">
        <f ca="1">IF(L35&lt;=VLOOKUP(Form!O$29,A$41:B$51,2,FALSE),(VLOOKUP(F$48-(VLOOKUP(Form!O$30,A$36:B$38,2,FALSE)),A$4:C$27,3,FALSE)*Form!O$25),F$49*Form!O$25)</f>
        <v>179172.45856653451</v>
      </c>
      <c r="G35" s="70">
        <f ca="1">IF(L35&lt;=VLOOKUP(Form!O$29,A$41:B$51,2,FALSE),(VLOOKUP(Form!O$26-(VLOOKUP(Form!O$30,A$36:B$38,2,FALSE)),A$4:C$27,3,FALSE)*Form!O$25),F$45*Form!O$25)</f>
        <v>206994.07930631476</v>
      </c>
      <c r="H35" s="71">
        <f t="shared" si="0"/>
        <v>283068</v>
      </c>
      <c r="I35" s="71">
        <f t="shared" ca="1" si="1"/>
        <v>462240.45856653451</v>
      </c>
      <c r="J35" s="41">
        <f ca="1">IF(L35&lt;=VLOOKUP(Form!O$29,A$41:B$51,2,FALSE),(VLOOKUP(F$48-(VLOOKUP(Form!O$30,A$36:B$38,2,FALSE)),A$4:C$27,2,FALSE)*Form!O$25),F$50*Form!O$25)</f>
        <v>138618.93335612168</v>
      </c>
      <c r="K35" s="41">
        <f ca="1">IF(L35&lt;=VLOOKUP(Form!O$29,A$41:B$51,2,FALSE),(VLOOKUP(Form!O$26-(VLOOKUP(Form!O$30,A$36:B$38,2,FALSE)),A$4:C$27,2,FALSE)*Form!O$25),F$46*Form!O$25)</f>
        <v>155514.16174918445</v>
      </c>
      <c r="L35" s="42">
        <f t="shared" ca="1" si="10"/>
        <v>0.92611836718291263</v>
      </c>
      <c r="N35" s="39">
        <f t="shared" si="5"/>
        <v>2048</v>
      </c>
      <c r="O35" s="37">
        <f>Form!O$43</f>
        <v>2</v>
      </c>
      <c r="P35" s="37">
        <v>2</v>
      </c>
      <c r="Q35" s="37">
        <f>P$4*O$47*O$46*Form!O$50</f>
        <v>7884</v>
      </c>
      <c r="R35" s="37">
        <f t="shared" si="3"/>
        <v>15768</v>
      </c>
      <c r="S35" s="44">
        <f>Form!O$51</f>
        <v>3.85E-2</v>
      </c>
      <c r="T35" s="45">
        <f t="shared" si="6"/>
        <v>607068</v>
      </c>
      <c r="U35" s="41">
        <f>IF(Form!O$52&gt;=X35,Q$57,0)</f>
        <v>0</v>
      </c>
      <c r="V35" s="45">
        <f>O$4*P$4*O$49 +(Form!O$43*Form!O$46)</f>
        <v>324000</v>
      </c>
      <c r="W35" s="46">
        <f t="shared" si="11"/>
        <v>283068</v>
      </c>
      <c r="X35">
        <f t="shared" si="9"/>
        <v>30</v>
      </c>
    </row>
    <row r="36" spans="1:24">
      <c r="A36" s="59" t="s">
        <v>75</v>
      </c>
      <c r="B36" s="50">
        <v>2</v>
      </c>
      <c r="E36" s="39">
        <f t="shared" si="4"/>
        <v>2049</v>
      </c>
      <c r="F36" s="70">
        <f ca="1">IF(L36&lt;=VLOOKUP(Form!O$29,A$41:B$51,2,FALSE),(VLOOKUP(F$48-(VLOOKUP(Form!O$30,A$36:B$38,2,FALSE)),A$4:C$27,3,FALSE)*Form!O$25),F$49*Form!O$25)</f>
        <v>179172.45856653451</v>
      </c>
      <c r="G36" s="70">
        <f ca="1">IF(L36&lt;=VLOOKUP(Form!O$29,A$41:B$51,2,FALSE),(VLOOKUP(Form!O$26-(VLOOKUP(Form!O$30,A$36:B$38,2,FALSE)),A$4:C$27,3,FALSE)*Form!O$25),F$45*Form!O$25)</f>
        <v>206994.07930631476</v>
      </c>
      <c r="H36" s="71">
        <f t="shared" si="0"/>
        <v>283068</v>
      </c>
      <c r="I36" s="71">
        <f t="shared" ca="1" si="1"/>
        <v>462240.45856653451</v>
      </c>
      <c r="J36" s="41">
        <f ca="1">IF(L36&lt;=VLOOKUP(Form!O$29,A$41:B$51,2,FALSE),(VLOOKUP(F$48-(VLOOKUP(Form!O$30,A$36:B$38,2,FALSE)),A$4:C$27,2,FALSE)*Form!O$25),F$50*Form!O$25)</f>
        <v>138618.93335612168</v>
      </c>
      <c r="K36" s="41">
        <f ca="1">IF(L36&lt;=VLOOKUP(Form!O$29,A$41:B$51,2,FALSE),(VLOOKUP(Form!O$26-(VLOOKUP(Form!O$30,A$36:B$38,2,FALSE)),A$4:C$27,2,FALSE)*Form!O$25),F$46*Form!O$25)</f>
        <v>155514.16174918445</v>
      </c>
      <c r="L36" s="42">
        <f t="shared" ca="1" si="10"/>
        <v>0.36412863635044712</v>
      </c>
      <c r="N36" s="39">
        <f t="shared" si="5"/>
        <v>2049</v>
      </c>
      <c r="O36" s="37">
        <f>Form!O$43</f>
        <v>2</v>
      </c>
      <c r="P36" s="37">
        <v>2</v>
      </c>
      <c r="Q36" s="37">
        <f>P$4*O$47*O$46*Form!O$50</f>
        <v>7884</v>
      </c>
      <c r="R36" s="37">
        <f t="shared" si="3"/>
        <v>15768</v>
      </c>
      <c r="S36" s="44">
        <f>Form!O$51</f>
        <v>3.85E-2</v>
      </c>
      <c r="T36" s="45">
        <f t="shared" si="6"/>
        <v>607068</v>
      </c>
      <c r="U36" s="41">
        <f>IF(Form!O$52&gt;=X36,Q$57,0)</f>
        <v>0</v>
      </c>
      <c r="V36" s="45">
        <f>O$4*P$4*O$49 +(Form!O$43*Form!O$46)</f>
        <v>324000</v>
      </c>
      <c r="W36" s="46">
        <f t="shared" si="11"/>
        <v>283068</v>
      </c>
      <c r="X36">
        <f t="shared" si="9"/>
        <v>31</v>
      </c>
    </row>
    <row r="37" spans="1:24">
      <c r="A37" s="8" t="s">
        <v>76</v>
      </c>
      <c r="B37" s="10">
        <v>5</v>
      </c>
      <c r="E37" s="39">
        <f t="shared" si="4"/>
        <v>2050</v>
      </c>
      <c r="F37" s="70">
        <f ca="1">IF(L37&lt;=VLOOKUP(Form!O$29,A$41:B$51,2,FALSE),(VLOOKUP(F$48-(VLOOKUP(Form!O$30,A$36:B$38,2,FALSE)),A$4:C$27,3,FALSE)*Form!O$25),F$49*Form!O$25)</f>
        <v>179172.45856653451</v>
      </c>
      <c r="G37" s="70">
        <f ca="1">IF(L37&lt;=VLOOKUP(Form!O$29,A$41:B$51,2,FALSE),(VLOOKUP(Form!O$26-(VLOOKUP(Form!O$30,A$36:B$38,2,FALSE)),A$4:C$27,3,FALSE)*Form!O$25),F$45*Form!O$25)</f>
        <v>206994.07930631476</v>
      </c>
      <c r="H37" s="71">
        <f t="shared" si="0"/>
        <v>283068</v>
      </c>
      <c r="I37" s="71">
        <f t="shared" ca="1" si="1"/>
        <v>462240.45856653451</v>
      </c>
      <c r="J37" s="41">
        <f ca="1">IF(L37&lt;=VLOOKUP(Form!O$29,A$41:B$51,2,FALSE),(VLOOKUP(F$48-(VLOOKUP(Form!O$30,A$36:B$38,2,FALSE)),A$4:C$27,2,FALSE)*Form!O$25),F$50*Form!O$25)</f>
        <v>138618.93335612168</v>
      </c>
      <c r="K37" s="41">
        <f ca="1">IF(L37&lt;=VLOOKUP(Form!O$29,A$41:B$51,2,FALSE),(VLOOKUP(Form!O$26-(VLOOKUP(Form!O$30,A$36:B$38,2,FALSE)),A$4:C$27,2,FALSE)*Form!O$25),F$46*Form!O$25)</f>
        <v>155514.16174918445</v>
      </c>
      <c r="L37" s="42">
        <f t="shared" ca="1" si="10"/>
        <v>0.72637786528354698</v>
      </c>
      <c r="N37" s="39">
        <f t="shared" si="5"/>
        <v>2050</v>
      </c>
      <c r="O37" s="37">
        <f>Form!O$43</f>
        <v>2</v>
      </c>
      <c r="P37" s="37">
        <v>2</v>
      </c>
      <c r="Q37" s="37">
        <f>P$4*O$47*O$46*Form!O$50</f>
        <v>7884</v>
      </c>
      <c r="R37" s="37">
        <f t="shared" si="3"/>
        <v>15768</v>
      </c>
      <c r="S37" s="44">
        <f>Form!O$51</f>
        <v>3.85E-2</v>
      </c>
      <c r="T37" s="45">
        <f t="shared" si="6"/>
        <v>607068</v>
      </c>
      <c r="U37" s="41">
        <f>IF(Form!O$52&gt;=X37,Q$57,0)</f>
        <v>0</v>
      </c>
      <c r="V37" s="45">
        <f>O$4*P$4*O$49 +(Form!O$43*Form!O$46)</f>
        <v>324000</v>
      </c>
      <c r="W37" s="46">
        <f t="shared" si="11"/>
        <v>283068</v>
      </c>
      <c r="X37">
        <f t="shared" si="9"/>
        <v>32</v>
      </c>
    </row>
    <row r="38" spans="1:24">
      <c r="A38" s="11" t="s">
        <v>77</v>
      </c>
      <c r="B38" s="13">
        <v>9</v>
      </c>
      <c r="E38" s="39">
        <f t="shared" si="4"/>
        <v>2051</v>
      </c>
      <c r="F38" s="70">
        <f ca="1">IF(L38&lt;=VLOOKUP(Form!O$29,A$41:B$51,2,FALSE),(VLOOKUP(F$48-(VLOOKUP(Form!O$30,A$36:B$38,2,FALSE)),A$4:C$27,3,FALSE)*Form!O$25),F$49*Form!O$25)</f>
        <v>179172.45856653451</v>
      </c>
      <c r="G38" s="70">
        <f ca="1">IF(L38&lt;=VLOOKUP(Form!O$29,A$41:B$51,2,FALSE),(VLOOKUP(Form!O$26-(VLOOKUP(Form!O$30,A$36:B$38,2,FALSE)),A$4:C$27,3,FALSE)*Form!O$25),F$45*Form!O$25)</f>
        <v>206994.07930631476</v>
      </c>
      <c r="H38" s="71">
        <f t="shared" si="0"/>
        <v>283068</v>
      </c>
      <c r="I38" s="71">
        <f t="shared" ca="1" si="1"/>
        <v>462240.45856653451</v>
      </c>
      <c r="J38" s="41">
        <f ca="1">IF(L38&lt;=VLOOKUP(Form!O$29,A$41:B$51,2,FALSE),(VLOOKUP(F$48-(VLOOKUP(Form!O$30,A$36:B$38,2,FALSE)),A$4:C$27,2,FALSE)*Form!O$25),F$50*Form!O$25)</f>
        <v>138618.93335612168</v>
      </c>
      <c r="K38" s="41">
        <f ca="1">IF(L38&lt;=VLOOKUP(Form!O$29,A$41:B$51,2,FALSE),(VLOOKUP(Form!O$26-(VLOOKUP(Form!O$30,A$36:B$38,2,FALSE)),A$4:C$27,2,FALSE)*Form!O$25),F$46*Form!O$25)</f>
        <v>155514.16174918445</v>
      </c>
      <c r="L38" s="42">
        <f t="shared" ca="1" si="10"/>
        <v>0.65242379063934131</v>
      </c>
      <c r="N38" s="39">
        <f t="shared" si="5"/>
        <v>2051</v>
      </c>
      <c r="O38" s="37">
        <f>Form!O$43</f>
        <v>2</v>
      </c>
      <c r="P38" s="37">
        <v>2</v>
      </c>
      <c r="Q38" s="37">
        <f>P$4*O$47*O$46*Form!O$50</f>
        <v>7884</v>
      </c>
      <c r="R38" s="37">
        <f t="shared" si="3"/>
        <v>15768</v>
      </c>
      <c r="S38" s="44">
        <f>Form!O$51</f>
        <v>3.85E-2</v>
      </c>
      <c r="T38" s="45">
        <f t="shared" si="6"/>
        <v>607068</v>
      </c>
      <c r="U38" s="41">
        <f>IF(Form!O$52&gt;=X38,Q$57,0)</f>
        <v>0</v>
      </c>
      <c r="V38" s="45">
        <f>O$4*P$4*O$49 +(Form!O$43*Form!O$46)</f>
        <v>324000</v>
      </c>
      <c r="W38" s="46">
        <f t="shared" si="11"/>
        <v>283068</v>
      </c>
      <c r="X38">
        <f t="shared" si="9"/>
        <v>33</v>
      </c>
    </row>
    <row r="39" spans="1:24">
      <c r="E39" s="39">
        <f t="shared" si="4"/>
        <v>2052</v>
      </c>
      <c r="F39" s="70">
        <f ca="1">IF(L39&lt;=VLOOKUP(Form!O$29,A$41:B$51,2,FALSE),(VLOOKUP(F$48-(VLOOKUP(Form!O$30,A$36:B$38,2,FALSE)),A$4:C$27,3,FALSE)*Form!O$25),F$49*Form!O$25)</f>
        <v>179172.45856653451</v>
      </c>
      <c r="G39" s="70">
        <f ca="1">IF(L39&lt;=VLOOKUP(Form!O$29,A$41:B$51,2,FALSE),(VLOOKUP(Form!O$26-(VLOOKUP(Form!O$30,A$36:B$38,2,FALSE)),A$4:C$27,3,FALSE)*Form!O$25),F$45*Form!O$25)</f>
        <v>206994.07930631476</v>
      </c>
      <c r="H39" s="71">
        <f t="shared" si="0"/>
        <v>283068</v>
      </c>
      <c r="I39" s="71">
        <f t="shared" ca="1" si="1"/>
        <v>462240.45856653451</v>
      </c>
      <c r="J39" s="41">
        <f ca="1">IF(L39&lt;=VLOOKUP(Form!O$29,A$41:B$51,2,FALSE),(VLOOKUP(F$48-(VLOOKUP(Form!O$30,A$36:B$38,2,FALSE)),A$4:C$27,2,FALSE)*Form!O$25),F$50*Form!O$25)</f>
        <v>138618.93335612168</v>
      </c>
      <c r="K39" s="41">
        <f ca="1">IF(L39&lt;=VLOOKUP(Form!O$29,A$41:B$51,2,FALSE),(VLOOKUP(Form!O$26-(VLOOKUP(Form!O$30,A$36:B$38,2,FALSE)),A$4:C$27,2,FALSE)*Form!O$25),F$46*Form!O$25)</f>
        <v>155514.16174918445</v>
      </c>
      <c r="L39" s="42">
        <f t="shared" ca="1" si="10"/>
        <v>0.94836530855393675</v>
      </c>
      <c r="N39" s="39">
        <f t="shared" si="5"/>
        <v>2052</v>
      </c>
      <c r="O39" s="37">
        <f>Form!O$43</f>
        <v>2</v>
      </c>
      <c r="P39" s="37">
        <v>2</v>
      </c>
      <c r="Q39" s="37">
        <f>P$4*O$47*O$46*Form!O$50</f>
        <v>7884</v>
      </c>
      <c r="R39" s="37">
        <f t="shared" si="3"/>
        <v>15768</v>
      </c>
      <c r="S39" s="44">
        <f>Form!O$51</f>
        <v>3.85E-2</v>
      </c>
      <c r="T39" s="45">
        <f t="shared" si="6"/>
        <v>607068</v>
      </c>
      <c r="U39" s="41">
        <f>IF(Form!O$52&gt;=X39,Q$57,0)</f>
        <v>0</v>
      </c>
      <c r="V39" s="45">
        <f>O$4*P$4*O$49 +(Form!O$43*Form!O$46)</f>
        <v>324000</v>
      </c>
      <c r="W39" s="46">
        <f t="shared" si="11"/>
        <v>283068</v>
      </c>
      <c r="X39">
        <f t="shared" si="9"/>
        <v>34</v>
      </c>
    </row>
    <row r="40" spans="1:24">
      <c r="A40" s="515" t="s">
        <v>78</v>
      </c>
      <c r="B40" s="516"/>
      <c r="E40" s="39">
        <f t="shared" si="4"/>
        <v>2053</v>
      </c>
      <c r="F40" s="70">
        <f ca="1">IF(L40&lt;=VLOOKUP(Form!O$29,A$41:B$51,2,FALSE),(VLOOKUP(F$48-(VLOOKUP(Form!O$30,A$36:B$38,2,FALSE)),A$4:C$27,3,FALSE)*Form!O$25),F$49*Form!O$25)</f>
        <v>179172.45856653451</v>
      </c>
      <c r="G40" s="70">
        <f ca="1">IF(L40&lt;=VLOOKUP(Form!O$29,A$41:B$51,2,FALSE),(VLOOKUP(Form!O$26-(VLOOKUP(Form!O$30,A$36:B$38,2,FALSE)),A$4:C$27,3,FALSE)*Form!O$25),F$45*Form!O$25)</f>
        <v>206994.07930631476</v>
      </c>
      <c r="H40" s="71">
        <f t="shared" si="0"/>
        <v>283068</v>
      </c>
      <c r="I40" s="71">
        <f t="shared" ca="1" si="1"/>
        <v>462240.45856653451</v>
      </c>
      <c r="J40" s="41">
        <f ca="1">IF(L40&lt;=VLOOKUP(Form!O$29,A$41:B$51,2,FALSE),(VLOOKUP(F$48-(VLOOKUP(Form!O$30,A$36:B$38,2,FALSE)),A$4:C$27,2,FALSE)*Form!O$25),F$50*Form!O$25)</f>
        <v>138618.93335612168</v>
      </c>
      <c r="K40" s="41">
        <f ca="1">IF(L40&lt;=VLOOKUP(Form!O$29,A$41:B$51,2,FALSE),(VLOOKUP(Form!O$26-(VLOOKUP(Form!O$30,A$36:B$38,2,FALSE)),A$4:C$27,2,FALSE)*Form!O$25),F$46*Form!O$25)</f>
        <v>155514.16174918445</v>
      </c>
      <c r="L40" s="42">
        <f t="shared" ca="1" si="10"/>
        <v>0.68490193622086459</v>
      </c>
      <c r="N40" s="39">
        <f t="shared" si="5"/>
        <v>2053</v>
      </c>
      <c r="O40" s="37">
        <f>Form!O$43</f>
        <v>2</v>
      </c>
      <c r="P40" s="37">
        <v>2</v>
      </c>
      <c r="Q40" s="37">
        <f>P$4*O$47*O$46*Form!O$50</f>
        <v>7884</v>
      </c>
      <c r="R40" s="37">
        <f t="shared" si="3"/>
        <v>15768</v>
      </c>
      <c r="S40" s="44">
        <f>Form!O$51</f>
        <v>3.85E-2</v>
      </c>
      <c r="T40" s="45">
        <f t="shared" si="6"/>
        <v>607068</v>
      </c>
      <c r="U40" s="41">
        <f>IF(Form!O$52&gt;=X40,Q$57,0)</f>
        <v>0</v>
      </c>
      <c r="V40" s="45">
        <f>O$4*P$4*O$49 +(Form!O$43*Form!O$46)</f>
        <v>324000</v>
      </c>
      <c r="W40" s="46">
        <f t="shared" si="11"/>
        <v>283068</v>
      </c>
      <c r="X40">
        <f t="shared" si="9"/>
        <v>35</v>
      </c>
    </row>
    <row r="41" spans="1:24">
      <c r="A41" s="58">
        <v>0</v>
      </c>
      <c r="B41" s="50">
        <v>0</v>
      </c>
      <c r="E41" s="39">
        <f t="shared" si="4"/>
        <v>2054</v>
      </c>
      <c r="F41" s="70">
        <f ca="1">IF(L41&lt;=VLOOKUP(Form!O$29,A$41:B$51,2,FALSE),(VLOOKUP(F$48-(VLOOKUP(Form!O$30,A$36:B$38,2,FALSE)),A$4:C$27,3,FALSE)*Form!O$25),F$49*Form!O$25)</f>
        <v>179172.45856653451</v>
      </c>
      <c r="G41" s="70">
        <f ca="1">IF(L41&lt;=VLOOKUP(Form!O$29,A$41:B$51,2,FALSE),(VLOOKUP(Form!O$26-(VLOOKUP(Form!O$30,A$36:B$38,2,FALSE)),A$4:C$27,3,FALSE)*Form!O$25),F$45*Form!O$25)</f>
        <v>206994.07930631476</v>
      </c>
      <c r="H41" s="71">
        <f t="shared" si="0"/>
        <v>283068</v>
      </c>
      <c r="I41" s="71">
        <f t="shared" ca="1" si="1"/>
        <v>462240.45856653451</v>
      </c>
      <c r="J41" s="41">
        <f ca="1">IF(L41&lt;=VLOOKUP(Form!O$29,A$41:B$51,2,FALSE),(VLOOKUP(F$48-(VLOOKUP(Form!O$30,A$36:B$38,2,FALSE)),A$4:C$27,2,FALSE)*Form!O$25),F$50*Form!O$25)</f>
        <v>138618.93335612168</v>
      </c>
      <c r="K41" s="41">
        <f ca="1">IF(L41&lt;=VLOOKUP(Form!O$29,A$41:B$51,2,FALSE),(VLOOKUP(Form!O$26-(VLOOKUP(Form!O$30,A$36:B$38,2,FALSE)),A$4:C$27,2,FALSE)*Form!O$25),F$46*Form!O$25)</f>
        <v>155514.16174918445</v>
      </c>
      <c r="L41" s="42">
        <f t="shared" ca="1" si="10"/>
        <v>0.63983059893762784</v>
      </c>
      <c r="N41" s="39">
        <f t="shared" si="5"/>
        <v>2054</v>
      </c>
      <c r="O41" s="37">
        <f>Form!O$43</f>
        <v>2</v>
      </c>
      <c r="P41" s="37">
        <v>2</v>
      </c>
      <c r="Q41" s="37">
        <f>P$4*O$47*O$46*Form!O$50</f>
        <v>7884</v>
      </c>
      <c r="R41" s="37">
        <f t="shared" si="3"/>
        <v>15768</v>
      </c>
      <c r="S41" s="44">
        <f>Form!O$51</f>
        <v>3.85E-2</v>
      </c>
      <c r="T41" s="45">
        <f t="shared" si="6"/>
        <v>607068</v>
      </c>
      <c r="U41" s="41">
        <f>IF(Form!O$52&gt;=X41,Q$57,0)</f>
        <v>0</v>
      </c>
      <c r="V41" s="45">
        <f>O$4*P$4*O$49 +(Form!O$43*Form!O$46)</f>
        <v>324000</v>
      </c>
      <c r="W41" s="46">
        <f t="shared" si="11"/>
        <v>283068</v>
      </c>
      <c r="X41">
        <f t="shared" si="9"/>
        <v>36</v>
      </c>
    </row>
    <row r="42" spans="1:24">
      <c r="A42" s="56">
        <v>0.1</v>
      </c>
      <c r="B42" s="10">
        <v>0.1</v>
      </c>
      <c r="E42" s="39">
        <f t="shared" si="4"/>
        <v>2055</v>
      </c>
      <c r="F42" s="70">
        <f ca="1">IF(L42&lt;=VLOOKUP(Form!O$29,A$41:B$51,2,FALSE),(VLOOKUP(F$48-(VLOOKUP(Form!O$30,A$36:B$38,2,FALSE)),A$4:C$27,3,FALSE)*Form!O$25),F$49*Form!O$25)</f>
        <v>179172.45856653451</v>
      </c>
      <c r="G42" s="70">
        <f ca="1">IF(L42&lt;=VLOOKUP(Form!O$29,A$41:B$51,2,FALSE),(VLOOKUP(Form!O$26-(VLOOKUP(Form!O$30,A$36:B$38,2,FALSE)),A$4:C$27,3,FALSE)*Form!O$25),F$45*Form!O$25)</f>
        <v>206994.07930631476</v>
      </c>
      <c r="H42" s="71">
        <f t="shared" si="0"/>
        <v>283068</v>
      </c>
      <c r="I42" s="71">
        <f t="shared" ca="1" si="1"/>
        <v>462240.45856653451</v>
      </c>
      <c r="J42" s="41">
        <f ca="1">IF(L42&lt;=VLOOKUP(Form!O$29,A$41:B$51,2,FALSE),(VLOOKUP(F$48-(VLOOKUP(Form!O$30,A$36:B$38,2,FALSE)),A$4:C$27,2,FALSE)*Form!O$25),F$50*Form!O$25)</f>
        <v>138618.93335612168</v>
      </c>
      <c r="K42" s="41">
        <f ca="1">IF(L42&lt;=VLOOKUP(Form!O$29,A$41:B$51,2,FALSE),(VLOOKUP(Form!O$26-(VLOOKUP(Form!O$30,A$36:B$38,2,FALSE)),A$4:C$27,2,FALSE)*Form!O$25),F$46*Form!O$25)</f>
        <v>155514.16174918445</v>
      </c>
      <c r="L42" s="42">
        <f t="shared" ca="1" si="10"/>
        <v>0.37191564338457195</v>
      </c>
      <c r="N42" s="39">
        <f t="shared" si="5"/>
        <v>2055</v>
      </c>
      <c r="O42" s="37">
        <f>Form!O$43</f>
        <v>2</v>
      </c>
      <c r="P42" s="37">
        <v>2</v>
      </c>
      <c r="Q42" s="37">
        <f>P$4*O$47*O$46*Form!O$50</f>
        <v>7884</v>
      </c>
      <c r="R42" s="37">
        <f t="shared" si="3"/>
        <v>15768</v>
      </c>
      <c r="S42" s="44">
        <f>Form!O$51</f>
        <v>3.85E-2</v>
      </c>
      <c r="T42" s="45">
        <f t="shared" si="6"/>
        <v>607068</v>
      </c>
      <c r="U42" s="41">
        <f>IF(Form!O$52&gt;=X42,Q$57,0)</f>
        <v>0</v>
      </c>
      <c r="V42" s="45">
        <f>O$4*P$4*O$49 +(Form!O$43*Form!O$46)</f>
        <v>324000</v>
      </c>
      <c r="W42" s="46">
        <f t="shared" si="11"/>
        <v>283068</v>
      </c>
      <c r="X42">
        <f t="shared" si="9"/>
        <v>37</v>
      </c>
    </row>
    <row r="43" spans="1:24">
      <c r="A43" s="56">
        <v>0.2</v>
      </c>
      <c r="B43" s="10">
        <f t="shared" ref="B43:B51" si="12">B42+0.1</f>
        <v>0.2</v>
      </c>
      <c r="E43" s="39">
        <f t="shared" si="4"/>
        <v>2056</v>
      </c>
      <c r="F43" s="70">
        <f ca="1">IF(L43&lt;=VLOOKUP(Form!O$29,A$41:B$51,2,FALSE),(VLOOKUP(F$48-(VLOOKUP(Form!O$30,A$36:B$38,2,FALSE)),A$4:C$27,3,FALSE)*Form!O$25),F$49*Form!O$25)</f>
        <v>179172.45856653451</v>
      </c>
      <c r="G43" s="70">
        <f ca="1">IF(L43&lt;=VLOOKUP(Form!O$29,A$41:B$51,2,FALSE),(VLOOKUP(Form!O$26-(VLOOKUP(Form!O$30,A$36:B$38,2,FALSE)),A$4:C$27,3,FALSE)*Form!O$25),F$45*Form!O$25)</f>
        <v>206994.07930631476</v>
      </c>
      <c r="H43" s="71">
        <f t="shared" si="0"/>
        <v>283068</v>
      </c>
      <c r="I43" s="71">
        <f t="shared" ca="1" si="1"/>
        <v>462240.45856653451</v>
      </c>
      <c r="J43" s="41">
        <f ca="1">IF(L43&lt;=VLOOKUP(Form!O$29,A$41:B$51,2,FALSE),(VLOOKUP(F$48-(VLOOKUP(Form!O$30,A$36:B$38,2,FALSE)),A$4:C$27,2,FALSE)*Form!O$25),F$50*Form!O$25)</f>
        <v>138618.93335612168</v>
      </c>
      <c r="K43" s="41">
        <f ca="1">IF(L43&lt;=VLOOKUP(Form!O$29,A$41:B$51,2,FALSE),(VLOOKUP(Form!O$26-(VLOOKUP(Form!O$30,A$36:B$38,2,FALSE)),A$4:C$27,2,FALSE)*Form!O$25),F$46*Form!O$25)</f>
        <v>155514.16174918445</v>
      </c>
      <c r="L43" s="42">
        <f t="shared" ca="1" si="10"/>
        <v>0.36978682831177634</v>
      </c>
      <c r="N43" s="39">
        <f t="shared" si="5"/>
        <v>2056</v>
      </c>
      <c r="O43" s="37">
        <f>Form!O$43</f>
        <v>2</v>
      </c>
      <c r="P43" s="37">
        <v>2</v>
      </c>
      <c r="Q43" s="37">
        <f>P$4*O$47*O$46*Form!O$50</f>
        <v>7884</v>
      </c>
      <c r="R43" s="37">
        <f t="shared" si="3"/>
        <v>15768</v>
      </c>
      <c r="S43" s="44">
        <f>Form!O$51</f>
        <v>3.85E-2</v>
      </c>
      <c r="T43" s="45">
        <f t="shared" si="6"/>
        <v>607068</v>
      </c>
      <c r="U43" s="41">
        <f>IF(Form!O$52&gt;=X43,Q$57,0)</f>
        <v>0</v>
      </c>
      <c r="V43" s="45">
        <f>O$4*P$4*O$49 +(Form!O$43*Form!O$46)</f>
        <v>324000</v>
      </c>
      <c r="W43" s="46">
        <f t="shared" si="11"/>
        <v>283068</v>
      </c>
      <c r="X43">
        <f t="shared" si="9"/>
        <v>38</v>
      </c>
    </row>
    <row r="44" spans="1:24">
      <c r="A44" s="56">
        <v>0.3</v>
      </c>
      <c r="B44" s="10">
        <f t="shared" si="12"/>
        <v>0.30000000000000004</v>
      </c>
      <c r="M44" s="4"/>
      <c r="N44" s="4"/>
      <c r="O44" s="4"/>
      <c r="P44" s="52"/>
      <c r="Q44" s="6"/>
      <c r="R44" s="5"/>
      <c r="S44" s="3"/>
      <c r="T44" s="5"/>
      <c r="U44" s="7"/>
      <c r="X44">
        <f t="shared" si="9"/>
        <v>39</v>
      </c>
    </row>
    <row r="45" spans="1:24">
      <c r="A45" s="56">
        <v>0.4</v>
      </c>
      <c r="B45" s="10">
        <f t="shared" si="12"/>
        <v>0.4</v>
      </c>
      <c r="E45" s="59" t="s">
        <v>128</v>
      </c>
      <c r="F45" s="50">
        <f>VLOOKUP(Form!O$26,A$4:C$27,3,FALSE)</f>
        <v>275.99210574175299</v>
      </c>
      <c r="N45" s="504" t="s">
        <v>35</v>
      </c>
      <c r="O45" s="505"/>
      <c r="P45" s="505"/>
      <c r="Q45" s="506"/>
      <c r="R45" s="5"/>
      <c r="X45">
        <f>X44+1</f>
        <v>40</v>
      </c>
    </row>
    <row r="46" spans="1:24">
      <c r="A46" s="56">
        <v>0.5</v>
      </c>
      <c r="B46" s="10">
        <f t="shared" si="12"/>
        <v>0.5</v>
      </c>
      <c r="E46" s="8" t="s">
        <v>129</v>
      </c>
      <c r="F46" s="10">
        <f>VLOOKUP(Form!O$26,A$4:C$27,2,FALSE)</f>
        <v>207.35221566557925</v>
      </c>
      <c r="N46" s="14" t="s">
        <v>37</v>
      </c>
      <c r="O46" s="15">
        <v>24</v>
      </c>
      <c r="P46" s="15" t="s">
        <v>21</v>
      </c>
      <c r="Q46" s="10"/>
      <c r="R46" s="4"/>
    </row>
    <row r="47" spans="1:24">
      <c r="A47" s="56">
        <v>0.6</v>
      </c>
      <c r="B47" s="10">
        <f t="shared" si="12"/>
        <v>0.6</v>
      </c>
      <c r="E47" s="8"/>
      <c r="F47" s="10"/>
      <c r="N47" s="14"/>
      <c r="O47" s="15">
        <v>365</v>
      </c>
      <c r="P47" s="15" t="s">
        <v>22</v>
      </c>
      <c r="Q47" s="10"/>
      <c r="R47" s="4"/>
    </row>
    <row r="48" spans="1:24">
      <c r="A48" s="56">
        <v>0.7</v>
      </c>
      <c r="B48" s="10">
        <f t="shared" si="12"/>
        <v>0.7</v>
      </c>
      <c r="E48" s="8" t="s">
        <v>52</v>
      </c>
      <c r="F48" s="10">
        <f>Form!O26-Form!O27</f>
        <v>12</v>
      </c>
      <c r="N48" s="14" t="s">
        <v>36</v>
      </c>
      <c r="O48" s="15">
        <v>0.45</v>
      </c>
      <c r="P48" s="15" t="s">
        <v>23</v>
      </c>
      <c r="Q48" s="16" t="s">
        <v>24</v>
      </c>
      <c r="R48" s="4"/>
    </row>
    <row r="49" spans="1:18">
      <c r="A49" s="56">
        <v>0.8</v>
      </c>
      <c r="B49" s="10">
        <f t="shared" si="12"/>
        <v>0.79999999999999993</v>
      </c>
      <c r="E49" s="8" t="s">
        <v>51</v>
      </c>
      <c r="F49" s="10">
        <f>VLOOKUP(F48,A4:C27,3,FALSE)</f>
        <v>238.89661142204599</v>
      </c>
      <c r="N49" s="14" t="s">
        <v>38</v>
      </c>
      <c r="O49" s="17">
        <v>31000</v>
      </c>
      <c r="P49" s="15" t="s">
        <v>39</v>
      </c>
      <c r="Q49" s="16"/>
      <c r="R49" s="4"/>
    </row>
    <row r="50" spans="1:18">
      <c r="A50" s="56">
        <v>0.9</v>
      </c>
      <c r="B50" s="10">
        <f t="shared" si="12"/>
        <v>0.89999999999999991</v>
      </c>
      <c r="E50" s="11" t="s">
        <v>130</v>
      </c>
      <c r="F50" s="13">
        <f>VLOOKUP(F48,A4:C27,2,FALSE)</f>
        <v>184.82524447482891</v>
      </c>
      <c r="N50" s="14" t="s">
        <v>40</v>
      </c>
      <c r="O50" s="18">
        <v>400000</v>
      </c>
      <c r="P50" s="15" t="s">
        <v>41</v>
      </c>
      <c r="Q50" s="10"/>
      <c r="R50" s="4"/>
    </row>
    <row r="51" spans="1:18">
      <c r="A51" s="57">
        <v>1</v>
      </c>
      <c r="B51" s="13">
        <f t="shared" si="12"/>
        <v>0.99999999999999989</v>
      </c>
      <c r="E51" s="9"/>
      <c r="F51" s="9"/>
      <c r="N51" s="1" t="s">
        <v>42</v>
      </c>
      <c r="O51" s="19">
        <v>3000000</v>
      </c>
      <c r="P51" s="20"/>
      <c r="Q51" s="2"/>
      <c r="R51" s="4"/>
    </row>
    <row r="52" spans="1:18">
      <c r="R52" s="4"/>
    </row>
    <row r="53" spans="1:18">
      <c r="A53" s="68" t="str">
        <f>"Graph 1 - Net Income Estimates " &amp; IF(From_Year=To_Year,From_Year,From_Year &amp; " to " &amp; To_Year)</f>
        <v>Graph 1 - Net Income Estimates 2017 to 2046</v>
      </c>
      <c r="B53" s="69"/>
      <c r="E53" s="507" t="str">
        <f>"Graph 2 - Net Income Estimates for " &amp;TEXT(Form!O52,"00") &amp;" year loan"</f>
        <v>Graph 2 - Net Income Estimates for 20 year loan</v>
      </c>
      <c r="F53" s="508"/>
      <c r="N53" s="522" t="s">
        <v>43</v>
      </c>
      <c r="O53" s="523"/>
      <c r="P53" s="523"/>
      <c r="Q53" s="524"/>
      <c r="R53" s="4"/>
    </row>
    <row r="54" spans="1:18">
      <c r="A54" s="63" t="str">
        <f t="shared" ref="A54:A61" si="13">"'Calcs'!$" &amp; INDEX($C$65:$AP$65,1,MATCH(From_Year,$C$66:$AP$66)) &amp; "$" &amp; A66 &amp; ":$" &amp; INDEX($C$65:$AP$65,1,MATCH(To_Year,$C$66:$AP$66)) &amp; "$" &amp; A66</f>
        <v>'Calcs'!$C$66:$AF$66</v>
      </c>
      <c r="B54" s="50" t="s">
        <v>31</v>
      </c>
      <c r="E54" s="61" t="str">
        <f>"'Calcs'!$" &amp; INDEX($C$65:$AP$65,1,MATCH(2019,$C$66:$AP$66)) &amp; "$" &amp; A66 &amp; ":$" &amp; INDEX($C$65:$AP$65,1,MATCH(2019+Form!O$52-1,$C$66:$AP$66)) &amp; "$" &amp; A66</f>
        <v>'Calcs'!$E$66:$X$66</v>
      </c>
      <c r="F54" s="50" t="s">
        <v>31</v>
      </c>
      <c r="N54" s="47" t="s">
        <v>44</v>
      </c>
      <c r="O54" s="48">
        <f>Form!O53</f>
        <v>0.03</v>
      </c>
      <c r="P54" s="49" t="s">
        <v>48</v>
      </c>
      <c r="Q54" s="53">
        <f>(O54/12)*O57</f>
        <v>17000</v>
      </c>
      <c r="R54" s="4"/>
    </row>
    <row r="55" spans="1:18">
      <c r="A55" s="61" t="str">
        <f t="shared" si="13"/>
        <v>'Calcs'!$C$67:$AF$67</v>
      </c>
      <c r="B55" s="10" t="s">
        <v>54</v>
      </c>
      <c r="D55" s="43"/>
      <c r="E55" s="61" t="str">
        <f>"'Calcs'!$" &amp; INDEX($C$65:$AP$65,1,MATCH(2019,$C$66:$AP$66)) &amp; "$" &amp; A67 &amp; ":$" &amp; INDEX($C$65:$AP$65,1,MATCH(2019+Form!O$52-1,$C$66:$AP$66)) &amp; "$" &amp; A67</f>
        <v>'Calcs'!$E$67:$X$67</v>
      </c>
      <c r="F55" s="10" t="s">
        <v>54</v>
      </c>
      <c r="N55" s="21" t="s">
        <v>45</v>
      </c>
      <c r="O55" s="23">
        <f>(Form!O44*O4)-O60</f>
        <v>6000000</v>
      </c>
      <c r="P55" s="22" t="s">
        <v>29</v>
      </c>
      <c r="Q55" s="10">
        <f>(1-(1+(O54/12))^-O58)</f>
        <v>0.45077728603117739</v>
      </c>
      <c r="R55" s="4"/>
    </row>
    <row r="56" spans="1:18">
      <c r="A56" s="61" t="str">
        <f t="shared" si="13"/>
        <v>'Calcs'!$C$68:$AF$68</v>
      </c>
      <c r="B56" s="10" t="s">
        <v>80</v>
      </c>
      <c r="D56" s="43"/>
      <c r="E56" s="61" t="str">
        <f>"'Calcs'!$" &amp; INDEX($C$65:$AP$65,1,MATCH(2019,$C$66:$AP$66)) &amp; "$" &amp; A68 &amp; ":$" &amp; INDEX($C$65:$AP$65,1,MATCH(2019+Form!O$52-1,$C$66:$AP$66)) &amp; "$" &amp; A68</f>
        <v>'Calcs'!$E$68:$X$68</v>
      </c>
      <c r="F56" s="10" t="s">
        <v>80</v>
      </c>
      <c r="I56" s="137"/>
      <c r="N56" s="21" t="s">
        <v>46</v>
      </c>
      <c r="O56" s="24">
        <f>IF(Form!O47="Yes",Form!O48,0)*O4</f>
        <v>800000</v>
      </c>
      <c r="P56" s="22" t="s">
        <v>49</v>
      </c>
      <c r="Q56" s="54">
        <f>Q54/Q55</f>
        <v>37712.636654066504</v>
      </c>
      <c r="R56" s="4"/>
    </row>
    <row r="57" spans="1:18">
      <c r="A57" s="61" t="str">
        <f t="shared" si="13"/>
        <v>'Calcs'!$C$69:$AF$69</v>
      </c>
      <c r="B57" s="10" t="s">
        <v>53</v>
      </c>
      <c r="E57" s="61" t="str">
        <f>"'Calcs'!$" &amp; INDEX($C$65:$AP$65,1,MATCH(2019,$C$66:$AP$66)) &amp; "$" &amp; A69 &amp; ":$" &amp; INDEX($C$65:$AP$65,1,MATCH(2019+Form!O$52-1,$C$66:$AP$66)) &amp; "$" &amp; A69</f>
        <v>'Calcs'!$E$69:$X$69</v>
      </c>
      <c r="F57" s="10" t="s">
        <v>53</v>
      </c>
      <c r="I57" s="137"/>
      <c r="N57" s="21" t="s">
        <v>25</v>
      </c>
      <c r="O57" s="25">
        <f>O55+O56</f>
        <v>6800000</v>
      </c>
      <c r="P57" s="38" t="s">
        <v>72</v>
      </c>
      <c r="Q57" s="55">
        <f>Q56*12</f>
        <v>452551.63984879805</v>
      </c>
      <c r="R57" s="4"/>
    </row>
    <row r="58" spans="1:18">
      <c r="A58" s="61" t="str">
        <f t="shared" si="13"/>
        <v>'Calcs'!$C$70:$AF$70</v>
      </c>
      <c r="B58" s="67" t="s">
        <v>12</v>
      </c>
      <c r="E58" s="61" t="str">
        <f>"'Calcs'!$" &amp; INDEX($C$65:$AP$65,1,MATCH(2019,$C$66:$AP$66)) &amp; "$" &amp; A70 &amp; ":$" &amp; INDEX($C$65:$AP$65,1,MATCH(2019+Form!O$52-1,$C$66:$AP$66)) &amp; "$" &amp; A70</f>
        <v>'Calcs'!$E$70:$X$70</v>
      </c>
      <c r="F58" s="67" t="s">
        <v>12</v>
      </c>
      <c r="I58" s="9"/>
      <c r="N58" s="26" t="s">
        <v>47</v>
      </c>
      <c r="O58" s="12">
        <f>Form!O52*12</f>
        <v>240</v>
      </c>
      <c r="P58" s="51" t="s">
        <v>50</v>
      </c>
      <c r="Q58" s="13" t="s">
        <v>28</v>
      </c>
      <c r="R58" s="4"/>
    </row>
    <row r="59" spans="1:18">
      <c r="A59" s="61" t="str">
        <f t="shared" si="13"/>
        <v>'Calcs'!$C$71:$AF$71</v>
      </c>
      <c r="B59" s="10" t="s">
        <v>131</v>
      </c>
      <c r="E59" s="61" t="str">
        <f>"'Calcs'!$" &amp; INDEX($C$65:$AP$65,1,MATCH(2019,$C$66:$AP$66)) &amp; "$" &amp; A71 &amp; ":$" &amp; INDEX($C$65:$AP$65,1,MATCH(2019+Form!O$52-1,$C$66:$AP$66)) &amp; "$" &amp; A71</f>
        <v>'Calcs'!$E$71:$X$71</v>
      </c>
      <c r="F59" s="10" t="s">
        <v>131</v>
      </c>
      <c r="I59" s="137"/>
    </row>
    <row r="60" spans="1:18">
      <c r="A60" s="61" t="str">
        <f t="shared" si="13"/>
        <v>'Calcs'!$C$72:$AF$72</v>
      </c>
      <c r="B60" s="10" t="s">
        <v>125</v>
      </c>
      <c r="E60" s="61" t="str">
        <f>"'Calcs'!$" &amp; INDEX($C$65:$AP$65,1,MATCH(2019,$C$66:$AP$66)) &amp; "$" &amp; A72 &amp; ":$" &amp; INDEX($C$65:$AP$65,1,MATCH(2019+Form!O$52-1,$C$66:$AP$66)) &amp; "$" &amp; A72</f>
        <v>'Calcs'!$E$72:$X$72</v>
      </c>
      <c r="F60" s="10" t="s">
        <v>125</v>
      </c>
      <c r="G60" s="43"/>
      <c r="I60" s="137"/>
      <c r="O60" s="72"/>
      <c r="R60" s="72"/>
    </row>
    <row r="61" spans="1:18">
      <c r="A61" s="61" t="str">
        <f t="shared" si="13"/>
        <v>'Calcs'!$C$73:$AF$73</v>
      </c>
      <c r="B61" s="67" t="s">
        <v>135</v>
      </c>
      <c r="E61" s="61" t="str">
        <f>"'Calcs'!$" &amp; INDEX($C$65:$AP$65,1,MATCH(2019,$C$66:$AP$66)) &amp; "$" &amp; A73 &amp; ":$" &amp; INDEX($C$65:$AP$65,1,MATCH(2019+Form!O$52-1,$C$66:$AP$66)) &amp; "$" &amp; A73</f>
        <v>'Calcs'!$E$73:$X$73</v>
      </c>
      <c r="F61" s="67" t="s">
        <v>135</v>
      </c>
      <c r="I61" s="137"/>
    </row>
    <row r="62" spans="1:18">
      <c r="A62" s="61" t="str">
        <f>"'Calcs'!$" &amp; INDEX($E$65:$AP$65,1,MATCH(2019,$E$66:$AP$66)) &amp; "$" &amp; A79 &amp; ":$" &amp; INDEX($E$65:$AP$65,1,MATCH(To_Year,$E$66:$AP$66)) &amp; "$" &amp; A79</f>
        <v>'Calcs'!$E$79:$AF$79</v>
      </c>
      <c r="B62" s="67" t="s">
        <v>184</v>
      </c>
      <c r="E62" s="61" t="str">
        <f>"'Calcs'!$" &amp; INDEX($C$65:$AP$65,1,MATCH(2019,$C$66:$AP$66)) &amp; "$" &amp; A79 &amp; ":$" &amp; INDEX($C$65:$AP$65,1,MATCH(2019+Form!O$52-1,$C$66:$AP$66)) &amp; "$" &amp; A79</f>
        <v>'Calcs'!$E$79:$X$79</v>
      </c>
      <c r="F62" s="67" t="s">
        <v>184</v>
      </c>
      <c r="I62" s="137"/>
    </row>
    <row r="63" spans="1:18">
      <c r="A63" s="62" t="str">
        <f>"'Calcs'!$" &amp; INDEX($C$65:$AP$65,1,MATCH(From_Year,$C$66:$AP$66)) &amp; "$" &amp; A81 &amp; ":$" &amp; INDEX($C$65:$AP$65,1,MATCH(To_Year,$C$66:$AP$66)) &amp; "$" &amp; A81</f>
        <v>'Calcs'!$C$81:$AF$81</v>
      </c>
      <c r="B63" s="75" t="s">
        <v>20</v>
      </c>
      <c r="E63" s="62" t="str">
        <f>"'Calcs'!$" &amp; INDEX($C$65:$AP$65,1,MATCH(2019,$C$66:$AP$66)) &amp; "$" &amp; A81 &amp; ":$" &amp; INDEX($C$65:$AP$65,1,MATCH(2019+Form!O$52-1,$C$66:$AP$66)) &amp; "$" &amp; A81</f>
        <v>'Calcs'!$E$81:$X$81</v>
      </c>
      <c r="F63" s="75" t="s">
        <v>20</v>
      </c>
      <c r="I63" s="137"/>
    </row>
    <row r="65" spans="1:43" s="96" customFormat="1">
      <c r="A65" s="100" t="s">
        <v>164</v>
      </c>
      <c r="B65" s="97"/>
      <c r="C65" s="97" t="s">
        <v>84</v>
      </c>
      <c r="D65" s="97" t="s">
        <v>85</v>
      </c>
      <c r="E65" s="97" t="s">
        <v>86</v>
      </c>
      <c r="F65" s="97" t="s">
        <v>87</v>
      </c>
      <c r="G65" s="97" t="s">
        <v>88</v>
      </c>
      <c r="H65" s="97" t="s">
        <v>89</v>
      </c>
      <c r="I65" s="97" t="s">
        <v>90</v>
      </c>
      <c r="J65" s="97" t="s">
        <v>91</v>
      </c>
      <c r="K65" s="97" t="s">
        <v>92</v>
      </c>
      <c r="L65" s="97" t="s">
        <v>93</v>
      </c>
      <c r="M65" s="97" t="s">
        <v>94</v>
      </c>
      <c r="N65" s="97" t="s">
        <v>95</v>
      </c>
      <c r="O65" s="97" t="s">
        <v>96</v>
      </c>
      <c r="P65" s="97" t="s">
        <v>108</v>
      </c>
      <c r="Q65" s="97" t="s">
        <v>97</v>
      </c>
      <c r="R65" s="97" t="s">
        <v>98</v>
      </c>
      <c r="S65" s="97" t="s">
        <v>99</v>
      </c>
      <c r="T65" s="97" t="s">
        <v>100</v>
      </c>
      <c r="U65" s="97" t="s">
        <v>101</v>
      </c>
      <c r="V65" s="97" t="s">
        <v>102</v>
      </c>
      <c r="W65" s="97" t="s">
        <v>103</v>
      </c>
      <c r="X65" s="97" t="s">
        <v>104</v>
      </c>
      <c r="Y65" s="97" t="s">
        <v>105</v>
      </c>
      <c r="Z65" s="97" t="s">
        <v>106</v>
      </c>
      <c r="AA65" s="97" t="s">
        <v>107</v>
      </c>
      <c r="AB65" s="97" t="s">
        <v>109</v>
      </c>
      <c r="AC65" s="97" t="s">
        <v>110</v>
      </c>
      <c r="AD65" s="97" t="s">
        <v>111</v>
      </c>
      <c r="AE65" s="97" t="s">
        <v>112</v>
      </c>
      <c r="AF65" s="97" t="s">
        <v>113</v>
      </c>
      <c r="AG65" s="97" t="s">
        <v>114</v>
      </c>
      <c r="AH65" s="97" t="s">
        <v>115</v>
      </c>
      <c r="AI65" s="97" t="s">
        <v>116</v>
      </c>
      <c r="AJ65" s="97" t="s">
        <v>117</v>
      </c>
      <c r="AK65" s="97" t="s">
        <v>118</v>
      </c>
      <c r="AL65" s="97" t="s">
        <v>119</v>
      </c>
      <c r="AM65" s="97" t="s">
        <v>120</v>
      </c>
      <c r="AN65" s="97" t="s">
        <v>121</v>
      </c>
      <c r="AO65" s="97" t="s">
        <v>122</v>
      </c>
      <c r="AP65" s="97" t="s">
        <v>123</v>
      </c>
    </row>
    <row r="66" spans="1:43" s="96" customFormat="1">
      <c r="A66" s="96">
        <v>66</v>
      </c>
      <c r="B66" s="136" t="str">
        <f>E3</f>
        <v>Year</v>
      </c>
      <c r="C66" s="97">
        <f>E4</f>
        <v>2017</v>
      </c>
      <c r="D66" s="97">
        <f>E5</f>
        <v>2018</v>
      </c>
      <c r="E66" s="97">
        <f>E6</f>
        <v>2019</v>
      </c>
      <c r="F66" s="97">
        <f>E7</f>
        <v>2020</v>
      </c>
      <c r="G66" s="97">
        <f>E8</f>
        <v>2021</v>
      </c>
      <c r="H66" s="97">
        <f>E9</f>
        <v>2022</v>
      </c>
      <c r="I66" s="97">
        <f>E10</f>
        <v>2023</v>
      </c>
      <c r="J66" s="97">
        <f>E11</f>
        <v>2024</v>
      </c>
      <c r="K66" s="97">
        <f>E12</f>
        <v>2025</v>
      </c>
      <c r="L66" s="97">
        <f>E13</f>
        <v>2026</v>
      </c>
      <c r="M66" s="97">
        <f>E14</f>
        <v>2027</v>
      </c>
      <c r="N66" s="97">
        <f>E15</f>
        <v>2028</v>
      </c>
      <c r="O66" s="97">
        <f>E16</f>
        <v>2029</v>
      </c>
      <c r="P66" s="97">
        <f>E17</f>
        <v>2030</v>
      </c>
      <c r="Q66" s="97">
        <f>E18</f>
        <v>2031</v>
      </c>
      <c r="R66" s="97">
        <f>E19</f>
        <v>2032</v>
      </c>
      <c r="S66" s="97">
        <f>E20</f>
        <v>2033</v>
      </c>
      <c r="T66" s="97">
        <f>E21</f>
        <v>2034</v>
      </c>
      <c r="U66" s="97">
        <f>E22</f>
        <v>2035</v>
      </c>
      <c r="V66" s="97">
        <f>E23</f>
        <v>2036</v>
      </c>
      <c r="W66" s="97">
        <f>E24</f>
        <v>2037</v>
      </c>
      <c r="X66" s="97">
        <f>E25</f>
        <v>2038</v>
      </c>
      <c r="Y66" s="97">
        <f>E26</f>
        <v>2039</v>
      </c>
      <c r="Z66" s="97">
        <f>E27</f>
        <v>2040</v>
      </c>
      <c r="AA66" s="97">
        <f>E28</f>
        <v>2041</v>
      </c>
      <c r="AB66" s="97">
        <f>E29</f>
        <v>2042</v>
      </c>
      <c r="AC66" s="97">
        <f>E30</f>
        <v>2043</v>
      </c>
      <c r="AD66" s="97">
        <f>E31</f>
        <v>2044</v>
      </c>
      <c r="AE66" s="97">
        <f>E32</f>
        <v>2045</v>
      </c>
      <c r="AF66" s="97">
        <f>E33</f>
        <v>2046</v>
      </c>
      <c r="AG66" s="97">
        <f>E34</f>
        <v>2047</v>
      </c>
      <c r="AH66" s="97">
        <f>E35</f>
        <v>2048</v>
      </c>
      <c r="AI66" s="97">
        <f>E36</f>
        <v>2049</v>
      </c>
      <c r="AJ66" s="97">
        <f>E37</f>
        <v>2050</v>
      </c>
      <c r="AK66" s="97">
        <f>E38</f>
        <v>2051</v>
      </c>
      <c r="AL66" s="97">
        <f>E39</f>
        <v>2052</v>
      </c>
      <c r="AM66" s="97">
        <f>E40</f>
        <v>2053</v>
      </c>
      <c r="AN66" s="97">
        <f>E41</f>
        <v>2054</v>
      </c>
      <c r="AO66" s="97">
        <f>E42</f>
        <v>2055</v>
      </c>
      <c r="AP66" s="97">
        <f>E43</f>
        <v>2056</v>
      </c>
    </row>
    <row r="67" spans="1:43" s="96" customFormat="1">
      <c r="A67" s="96">
        <v>67</v>
      </c>
      <c r="B67" s="136" t="str">
        <f>F3</f>
        <v>Ag (Reduced Irr.)</v>
      </c>
      <c r="C67" s="98">
        <f ca="1">F4</f>
        <v>206994.07930631476</v>
      </c>
      <c r="D67" s="98">
        <f ca="1">F5</f>
        <v>206994.07930631476</v>
      </c>
      <c r="E67" s="98">
        <f ca="1">F6</f>
        <v>206994.07930631476</v>
      </c>
      <c r="F67" s="98">
        <f ca="1">F7</f>
        <v>206994.07930631476</v>
      </c>
      <c r="G67" s="133">
        <f ca="1">F8</f>
        <v>206994.07930631476</v>
      </c>
      <c r="H67" s="134">
        <f ca="1">F9</f>
        <v>179172.45856653451</v>
      </c>
      <c r="I67" s="98">
        <f ca="1">F10</f>
        <v>179172.45856653451</v>
      </c>
      <c r="J67" s="134">
        <f ca="1">F11</f>
        <v>179172.45856653451</v>
      </c>
      <c r="K67" s="135">
        <f ca="1">F12</f>
        <v>179172.45856653451</v>
      </c>
      <c r="L67" s="98">
        <f ca="1">F13</f>
        <v>179172.45856653451</v>
      </c>
      <c r="M67" s="98">
        <f ca="1">F14</f>
        <v>179172.45856653451</v>
      </c>
      <c r="N67" s="98">
        <f ca="1">F15</f>
        <v>179172.45856653451</v>
      </c>
      <c r="O67" s="98">
        <f ca="1">F16</f>
        <v>179172.45856653451</v>
      </c>
      <c r="P67" s="98">
        <f ca="1">F17</f>
        <v>179172.45856653451</v>
      </c>
      <c r="Q67" s="98">
        <f ca="1">F18</f>
        <v>179172.45856653451</v>
      </c>
      <c r="R67" s="98">
        <f ca="1">F19</f>
        <v>179172.45856653451</v>
      </c>
      <c r="S67" s="98">
        <f ca="1">F20</f>
        <v>179172.45856653451</v>
      </c>
      <c r="T67" s="98">
        <f ca="1">F21</f>
        <v>179172.45856653451</v>
      </c>
      <c r="U67" s="98">
        <f ca="1">F22</f>
        <v>179172.45856653451</v>
      </c>
      <c r="V67" s="98">
        <f ca="1">F23</f>
        <v>179172.45856653451</v>
      </c>
      <c r="W67" s="98">
        <f ca="1">F24</f>
        <v>179172.45856653451</v>
      </c>
      <c r="X67" s="98">
        <f ca="1">F25</f>
        <v>179172.45856653451</v>
      </c>
      <c r="Y67" s="98">
        <f ca="1">F26</f>
        <v>179172.45856653451</v>
      </c>
      <c r="Z67" s="98">
        <f ca="1">F27</f>
        <v>179172.45856653451</v>
      </c>
      <c r="AA67" s="98">
        <f ca="1">F28</f>
        <v>179172.45856653451</v>
      </c>
      <c r="AB67" s="98">
        <f ca="1">F29</f>
        <v>179172.45856653451</v>
      </c>
      <c r="AC67" s="98">
        <f ca="1">F30</f>
        <v>179172.45856653451</v>
      </c>
      <c r="AD67" s="98">
        <f ca="1">F31</f>
        <v>179172.45856653451</v>
      </c>
      <c r="AE67" s="98">
        <f ca="1">F32</f>
        <v>179172.45856653451</v>
      </c>
      <c r="AF67" s="98">
        <f ca="1">F33</f>
        <v>179172.45856653451</v>
      </c>
      <c r="AG67" s="98">
        <f ca="1">F34</f>
        <v>179172.45856653451</v>
      </c>
      <c r="AH67" s="98">
        <f ca="1">F35</f>
        <v>179172.45856653451</v>
      </c>
      <c r="AI67" s="98">
        <f ca="1">F36</f>
        <v>179172.45856653451</v>
      </c>
      <c r="AJ67" s="98">
        <f ca="1">F37</f>
        <v>179172.45856653451</v>
      </c>
      <c r="AK67" s="98">
        <f ca="1">F38</f>
        <v>179172.45856653451</v>
      </c>
      <c r="AL67" s="98">
        <f ca="1">F39</f>
        <v>179172.45856653451</v>
      </c>
      <c r="AM67" s="98">
        <f ca="1">F40</f>
        <v>179172.45856653451</v>
      </c>
      <c r="AN67" s="98">
        <f ca="1">F41</f>
        <v>179172.45856653451</v>
      </c>
      <c r="AO67" s="98">
        <f ca="1">F42</f>
        <v>179172.45856653451</v>
      </c>
      <c r="AP67" s="98">
        <f ca="1">F43</f>
        <v>179172.45856653451</v>
      </c>
    </row>
    <row r="68" spans="1:43" s="96" customFormat="1">
      <c r="A68" s="96">
        <v>68</v>
      </c>
      <c r="B68" s="136" t="str">
        <f>G3</f>
        <v>Ag (Norm Irr.)</v>
      </c>
      <c r="C68" s="98">
        <f ca="1">G4</f>
        <v>206994.07930631476</v>
      </c>
      <c r="D68" s="98">
        <f ca="1">G5</f>
        <v>206994.07930631476</v>
      </c>
      <c r="E68" s="98">
        <f ca="1">G6</f>
        <v>206994.07930631476</v>
      </c>
      <c r="F68" s="98">
        <f ca="1">G7</f>
        <v>206994.07930631476</v>
      </c>
      <c r="G68" s="133">
        <f ca="1">G8</f>
        <v>206994.07930631476</v>
      </c>
      <c r="H68" s="134">
        <f ca="1">G9</f>
        <v>206994.07930631476</v>
      </c>
      <c r="I68" s="98">
        <f ca="1">G10</f>
        <v>206994.07930631476</v>
      </c>
      <c r="J68" s="134">
        <f ca="1">G11</f>
        <v>206994.07930631476</v>
      </c>
      <c r="K68" s="135">
        <f ca="1">G12</f>
        <v>206994.07930631476</v>
      </c>
      <c r="L68" s="98">
        <f ca="1">G13</f>
        <v>206994.07930631476</v>
      </c>
      <c r="M68" s="98">
        <f ca="1">G14</f>
        <v>206994.07930631476</v>
      </c>
      <c r="N68" s="98">
        <f ca="1">G15</f>
        <v>206994.07930631476</v>
      </c>
      <c r="O68" s="98">
        <f ca="1">G16</f>
        <v>206994.07930631476</v>
      </c>
      <c r="P68" s="98">
        <f ca="1">G17</f>
        <v>206994.07930631476</v>
      </c>
      <c r="Q68" s="98">
        <f ca="1">G18</f>
        <v>206994.07930631476</v>
      </c>
      <c r="R68" s="98">
        <f ca="1">G19</f>
        <v>206994.07930631476</v>
      </c>
      <c r="S68" s="98">
        <f ca="1">G20</f>
        <v>206994.07930631476</v>
      </c>
      <c r="T68" s="98">
        <f ca="1">G21</f>
        <v>206994.07930631476</v>
      </c>
      <c r="U68" s="98">
        <f ca="1">G22</f>
        <v>206994.07930631476</v>
      </c>
      <c r="V68" s="98">
        <f ca="1">G23</f>
        <v>206994.07930631476</v>
      </c>
      <c r="W68" s="98">
        <f ca="1">G24</f>
        <v>206994.07930631476</v>
      </c>
      <c r="X68" s="98">
        <f ca="1">G25</f>
        <v>206994.07930631476</v>
      </c>
      <c r="Y68" s="98">
        <f ca="1">G26</f>
        <v>206994.07930631476</v>
      </c>
      <c r="Z68" s="98">
        <f ca="1">G27</f>
        <v>206994.07930631476</v>
      </c>
      <c r="AA68" s="98">
        <f ca="1">G28</f>
        <v>206994.07930631476</v>
      </c>
      <c r="AB68" s="98">
        <f ca="1">G29</f>
        <v>206994.07930631476</v>
      </c>
      <c r="AC68" s="98">
        <f ca="1">G30</f>
        <v>206994.07930631476</v>
      </c>
      <c r="AD68" s="98">
        <f ca="1">G31</f>
        <v>206994.07930631476</v>
      </c>
      <c r="AE68" s="98">
        <f ca="1">G32</f>
        <v>206994.07930631476</v>
      </c>
      <c r="AF68" s="98">
        <f ca="1">G33</f>
        <v>206994.07930631476</v>
      </c>
      <c r="AG68" s="98">
        <f ca="1">G34</f>
        <v>206994.07930631476</v>
      </c>
      <c r="AH68" s="98">
        <f ca="1">G35</f>
        <v>206994.07930631476</v>
      </c>
      <c r="AI68" s="98">
        <f ca="1">G36</f>
        <v>206994.07930631476</v>
      </c>
      <c r="AJ68" s="98">
        <f ca="1">G37</f>
        <v>206994.07930631476</v>
      </c>
      <c r="AK68" s="98">
        <f ca="1">G38</f>
        <v>206994.07930631476</v>
      </c>
      <c r="AL68" s="98">
        <f ca="1">G39</f>
        <v>206994.07930631476</v>
      </c>
      <c r="AM68" s="98">
        <f ca="1">G40</f>
        <v>206994.07930631476</v>
      </c>
      <c r="AN68" s="98">
        <f ca="1">G41</f>
        <v>206994.07930631476</v>
      </c>
      <c r="AO68" s="98">
        <f ca="1">G42</f>
        <v>206994.07930631476</v>
      </c>
      <c r="AP68" s="98">
        <f ca="1">G43</f>
        <v>206994.07930631476</v>
      </c>
    </row>
    <row r="69" spans="1:43" s="96" customFormat="1">
      <c r="A69" s="96">
        <v>69</v>
      </c>
      <c r="B69" s="136" t="str">
        <f>H3</f>
        <v>Energy</v>
      </c>
      <c r="C69" s="98">
        <f>H4</f>
        <v>0</v>
      </c>
      <c r="D69" s="98">
        <f>H5</f>
        <v>0</v>
      </c>
      <c r="E69" s="98">
        <f>H6</f>
        <v>30516.360151201952</v>
      </c>
      <c r="F69" s="98">
        <f>H7</f>
        <v>30516.360151201952</v>
      </c>
      <c r="G69" s="133">
        <f>H8</f>
        <v>30516.360151201952</v>
      </c>
      <c r="H69" s="134">
        <f>H9</f>
        <v>30516.360151201952</v>
      </c>
      <c r="I69" s="98">
        <f>H10</f>
        <v>30516.360151201952</v>
      </c>
      <c r="J69" s="134">
        <f>H11</f>
        <v>30516.360151201952</v>
      </c>
      <c r="K69" s="135">
        <f>H12</f>
        <v>30516.360151201952</v>
      </c>
      <c r="L69" s="98">
        <f>H13</f>
        <v>30516.360151201952</v>
      </c>
      <c r="M69" s="98">
        <f>H14</f>
        <v>30516.360151201952</v>
      </c>
      <c r="N69" s="98">
        <f>H15</f>
        <v>30516.360151201952</v>
      </c>
      <c r="O69" s="98">
        <f>H16</f>
        <v>30516.360151201952</v>
      </c>
      <c r="P69" s="98">
        <f>H17</f>
        <v>30516.360151201952</v>
      </c>
      <c r="Q69" s="98">
        <f>H18</f>
        <v>30516.360151201952</v>
      </c>
      <c r="R69" s="98">
        <f>H19</f>
        <v>30516.360151201952</v>
      </c>
      <c r="S69" s="98">
        <f>H20</f>
        <v>30516.360151201952</v>
      </c>
      <c r="T69" s="98">
        <f>H21</f>
        <v>30516.360151201952</v>
      </c>
      <c r="U69" s="98">
        <f>H22</f>
        <v>30516.360151201952</v>
      </c>
      <c r="V69" s="98">
        <f>H23</f>
        <v>30516.360151201952</v>
      </c>
      <c r="W69" s="98">
        <f>H24</f>
        <v>30516.360151201952</v>
      </c>
      <c r="X69" s="98">
        <f>H25</f>
        <v>30516.360151201952</v>
      </c>
      <c r="Y69" s="98">
        <f>H26</f>
        <v>283068</v>
      </c>
      <c r="Z69" s="98">
        <f>H27</f>
        <v>283068</v>
      </c>
      <c r="AA69" s="98">
        <f>H28</f>
        <v>283068</v>
      </c>
      <c r="AB69" s="98">
        <f>H29</f>
        <v>283068</v>
      </c>
      <c r="AC69" s="98">
        <f>H30</f>
        <v>283068</v>
      </c>
      <c r="AD69" s="98">
        <f>H31</f>
        <v>283068</v>
      </c>
      <c r="AE69" s="98">
        <f>H32</f>
        <v>283068</v>
      </c>
      <c r="AF69" s="98">
        <f>H33</f>
        <v>283068</v>
      </c>
      <c r="AG69" s="98">
        <f>H34</f>
        <v>283068</v>
      </c>
      <c r="AH69" s="98">
        <f>H35</f>
        <v>283068</v>
      </c>
      <c r="AI69" s="98">
        <f>H36</f>
        <v>283068</v>
      </c>
      <c r="AJ69" s="98">
        <f>H37</f>
        <v>283068</v>
      </c>
      <c r="AK69" s="98">
        <f>H38</f>
        <v>283068</v>
      </c>
      <c r="AL69" s="98">
        <f>H39</f>
        <v>283068</v>
      </c>
      <c r="AM69" s="98">
        <f>H40</f>
        <v>283068</v>
      </c>
      <c r="AN69" s="98">
        <f>H41</f>
        <v>283068</v>
      </c>
      <c r="AO69" s="98">
        <f>H42</f>
        <v>283068</v>
      </c>
      <c r="AP69" s="98">
        <f>H43</f>
        <v>283068</v>
      </c>
    </row>
    <row r="70" spans="1:43" s="96" customFormat="1">
      <c r="A70" s="96">
        <v>70</v>
      </c>
      <c r="B70" s="136" t="str">
        <f>I3</f>
        <v>Total</v>
      </c>
      <c r="C70" s="98">
        <f ca="1">I4</f>
        <v>206994.07930631476</v>
      </c>
      <c r="D70" s="98">
        <f ca="1">I5</f>
        <v>206994.07930631476</v>
      </c>
      <c r="E70" s="98">
        <f ca="1">I6</f>
        <v>237510.43945751671</v>
      </c>
      <c r="F70" s="98">
        <f ca="1">I7</f>
        <v>237510.43945751671</v>
      </c>
      <c r="G70" s="133">
        <f ca="1">I8</f>
        <v>237510.43945751671</v>
      </c>
      <c r="H70" s="134">
        <f ca="1">I9</f>
        <v>209688.81871773646</v>
      </c>
      <c r="I70" s="98">
        <f ca="1">I10</f>
        <v>209688.81871773646</v>
      </c>
      <c r="J70" s="134">
        <f ca="1">I11</f>
        <v>209688.81871773646</v>
      </c>
      <c r="K70" s="135">
        <f ca="1">I12</f>
        <v>209688.81871773646</v>
      </c>
      <c r="L70" s="98">
        <f ca="1">I13</f>
        <v>209688.81871773646</v>
      </c>
      <c r="M70" s="98">
        <f ca="1">I14</f>
        <v>209688.81871773646</v>
      </c>
      <c r="N70" s="98">
        <f ca="1">I15</f>
        <v>209688.81871773646</v>
      </c>
      <c r="O70" s="98">
        <f ca="1">I16</f>
        <v>209688.81871773646</v>
      </c>
      <c r="P70" s="98">
        <f ca="1">I17</f>
        <v>209688.81871773646</v>
      </c>
      <c r="Q70" s="98">
        <f ca="1">I18</f>
        <v>209688.81871773646</v>
      </c>
      <c r="R70" s="98">
        <f ca="1">I19</f>
        <v>209688.81871773646</v>
      </c>
      <c r="S70" s="98">
        <f ca="1">I20</f>
        <v>209688.81871773646</v>
      </c>
      <c r="T70" s="98">
        <f ca="1">I21</f>
        <v>209688.81871773646</v>
      </c>
      <c r="U70" s="98">
        <f ca="1">I22</f>
        <v>209688.81871773646</v>
      </c>
      <c r="V70" s="98">
        <f ca="1">I23</f>
        <v>209688.81871773646</v>
      </c>
      <c r="W70" s="98">
        <f ca="1">I24</f>
        <v>209688.81871773646</v>
      </c>
      <c r="X70" s="98">
        <f ca="1">I25</f>
        <v>209688.81871773646</v>
      </c>
      <c r="Y70" s="98">
        <f ca="1">I26</f>
        <v>462240.45856653451</v>
      </c>
      <c r="Z70" s="98">
        <f ca="1">I27</f>
        <v>462240.45856653451</v>
      </c>
      <c r="AA70" s="98">
        <f ca="1">I28</f>
        <v>462240.45856653451</v>
      </c>
      <c r="AB70" s="98">
        <f ca="1">I29</f>
        <v>462240.45856653451</v>
      </c>
      <c r="AC70" s="98">
        <f ca="1">I30</f>
        <v>462240.45856653451</v>
      </c>
      <c r="AD70" s="98">
        <f ca="1">I31</f>
        <v>462240.45856653451</v>
      </c>
      <c r="AE70" s="98">
        <f ca="1">I32</f>
        <v>462240.45856653451</v>
      </c>
      <c r="AF70" s="98">
        <f ca="1">I33</f>
        <v>462240.45856653451</v>
      </c>
      <c r="AG70" s="98">
        <f ca="1">I34</f>
        <v>462240.45856653451</v>
      </c>
      <c r="AH70" s="98">
        <f ca="1">I35</f>
        <v>462240.45856653451</v>
      </c>
      <c r="AI70" s="98">
        <f ca="1">I36</f>
        <v>462240.45856653451</v>
      </c>
      <c r="AJ70" s="98">
        <f ca="1">I37</f>
        <v>462240.45856653451</v>
      </c>
      <c r="AK70" s="98">
        <f ca="1">I38</f>
        <v>462240.45856653451</v>
      </c>
      <c r="AL70" s="98">
        <f ca="1">I39</f>
        <v>462240.45856653451</v>
      </c>
      <c r="AM70" s="98">
        <f ca="1">I40</f>
        <v>462240.45856653451</v>
      </c>
      <c r="AN70" s="98">
        <f ca="1">I41</f>
        <v>462240.45856653451</v>
      </c>
      <c r="AO70" s="98">
        <f ca="1">I42</f>
        <v>462240.45856653451</v>
      </c>
      <c r="AP70" s="98">
        <f ca="1">I43</f>
        <v>462240.45856653451</v>
      </c>
    </row>
    <row r="71" spans="1:43" s="96" customFormat="1">
      <c r="A71" s="96">
        <v>71</v>
      </c>
      <c r="B71" s="136" t="s">
        <v>131</v>
      </c>
      <c r="C71" s="98">
        <f ca="1">J4</f>
        <v>155514.16174918445</v>
      </c>
      <c r="D71" s="98">
        <f ca="1">J5</f>
        <v>155514.16174918445</v>
      </c>
      <c r="E71" s="98">
        <f ca="1">J6</f>
        <v>155514.16174918445</v>
      </c>
      <c r="F71" s="98">
        <f ca="1">J7</f>
        <v>155514.16174918445</v>
      </c>
      <c r="G71" s="98">
        <f ca="1">J8</f>
        <v>155514.16174918445</v>
      </c>
      <c r="H71" s="98">
        <f ca="1">J9</f>
        <v>138618.93335612168</v>
      </c>
      <c r="I71" s="98">
        <f ca="1">J10</f>
        <v>138618.93335612168</v>
      </c>
      <c r="J71" s="98">
        <f ca="1">J11</f>
        <v>138618.93335612168</v>
      </c>
      <c r="K71" s="98">
        <f ca="1">J12</f>
        <v>138618.93335612168</v>
      </c>
      <c r="L71" s="98">
        <f ca="1">J13</f>
        <v>138618.93335612168</v>
      </c>
      <c r="M71" s="98">
        <f ca="1">J14</f>
        <v>138618.93335612168</v>
      </c>
      <c r="N71" s="98">
        <f ca="1">J15</f>
        <v>138618.93335612168</v>
      </c>
      <c r="O71" s="98">
        <f ca="1">J16</f>
        <v>138618.93335612168</v>
      </c>
      <c r="P71" s="98">
        <f ca="1">J17</f>
        <v>138618.93335612168</v>
      </c>
      <c r="Q71" s="98">
        <f ca="1">J18</f>
        <v>138618.93335612168</v>
      </c>
      <c r="R71" s="98">
        <f ca="1">J19</f>
        <v>138618.93335612168</v>
      </c>
      <c r="S71" s="98">
        <f ca="1">J20</f>
        <v>138618.93335612168</v>
      </c>
      <c r="T71" s="98">
        <f ca="1">J21</f>
        <v>138618.93335612168</v>
      </c>
      <c r="U71" s="98">
        <f ca="1">J22</f>
        <v>138618.93335612168</v>
      </c>
      <c r="V71" s="98">
        <f ca="1">J23</f>
        <v>138618.93335612168</v>
      </c>
      <c r="W71" s="98">
        <f ca="1">J24</f>
        <v>138618.93335612168</v>
      </c>
      <c r="X71" s="98">
        <f ca="1">J25</f>
        <v>138618.93335612168</v>
      </c>
      <c r="Y71" s="98">
        <f ca="1">J26</f>
        <v>138618.93335612168</v>
      </c>
      <c r="Z71" s="98">
        <f ca="1">J27</f>
        <v>138618.93335612168</v>
      </c>
      <c r="AA71" s="98">
        <f ca="1">J28</f>
        <v>138618.93335612168</v>
      </c>
      <c r="AB71" s="98">
        <f ca="1">J29</f>
        <v>138618.93335612168</v>
      </c>
      <c r="AC71" s="98">
        <f ca="1">J30</f>
        <v>138618.93335612168</v>
      </c>
      <c r="AD71" s="98">
        <f ca="1">J31</f>
        <v>138618.93335612168</v>
      </c>
      <c r="AE71" s="98">
        <f ca="1">J32</f>
        <v>138618.93335612168</v>
      </c>
      <c r="AF71" s="98">
        <f ca="1">J33</f>
        <v>138618.93335612168</v>
      </c>
      <c r="AG71" s="98">
        <f ca="1">J34</f>
        <v>138618.93335612168</v>
      </c>
      <c r="AH71" s="98">
        <f ca="1">J35</f>
        <v>138618.93335612168</v>
      </c>
      <c r="AI71" s="98">
        <f ca="1">J36</f>
        <v>138618.93335612168</v>
      </c>
      <c r="AJ71" s="98">
        <f ca="1">J37</f>
        <v>138618.93335612168</v>
      </c>
      <c r="AK71" s="98">
        <f ca="1">J38</f>
        <v>138618.93335612168</v>
      </c>
      <c r="AL71" s="98">
        <f ca="1">J39</f>
        <v>138618.93335612168</v>
      </c>
      <c r="AM71" s="98">
        <f ca="1">J40</f>
        <v>138618.93335612168</v>
      </c>
      <c r="AN71" s="98">
        <f ca="1">J41</f>
        <v>138618.93335612168</v>
      </c>
      <c r="AO71" s="98">
        <f ca="1">J42</f>
        <v>138618.93335612168</v>
      </c>
      <c r="AP71" s="98">
        <f ca="1">J43</f>
        <v>138618.93335612168</v>
      </c>
      <c r="AQ71" s="99"/>
    </row>
    <row r="72" spans="1:43" s="96" customFormat="1">
      <c r="A72" s="96">
        <v>72</v>
      </c>
      <c r="B72" s="136" t="s">
        <v>125</v>
      </c>
      <c r="C72" s="98">
        <f ca="1">K4</f>
        <v>155514.16174918445</v>
      </c>
      <c r="D72" s="98">
        <f ca="1">K5</f>
        <v>155514.16174918445</v>
      </c>
      <c r="E72" s="98">
        <f ca="1">K6</f>
        <v>155514.16174918445</v>
      </c>
      <c r="F72" s="98">
        <f ca="1">K7</f>
        <v>155514.16174918445</v>
      </c>
      <c r="G72" s="98">
        <f ca="1">K8</f>
        <v>155514.16174918445</v>
      </c>
      <c r="H72" s="98">
        <f ca="1">K9</f>
        <v>155514.16174918445</v>
      </c>
      <c r="I72" s="98">
        <f ca="1">K10</f>
        <v>155514.16174918445</v>
      </c>
      <c r="J72" s="98">
        <f ca="1">K11</f>
        <v>155514.16174918445</v>
      </c>
      <c r="K72" s="98">
        <f ca="1">K12</f>
        <v>155514.16174918445</v>
      </c>
      <c r="L72" s="98">
        <f ca="1">K13</f>
        <v>155514.16174918445</v>
      </c>
      <c r="M72" s="98">
        <f ca="1">K14</f>
        <v>155514.16174918445</v>
      </c>
      <c r="N72" s="98">
        <f ca="1">K15</f>
        <v>155514.16174918445</v>
      </c>
      <c r="O72" s="98">
        <f ca="1">K16</f>
        <v>155514.16174918445</v>
      </c>
      <c r="P72" s="98">
        <f ca="1">K17</f>
        <v>155514.16174918445</v>
      </c>
      <c r="Q72" s="98">
        <f ca="1">K18</f>
        <v>155514.16174918445</v>
      </c>
      <c r="R72" s="98">
        <f ca="1">K19</f>
        <v>155514.16174918445</v>
      </c>
      <c r="S72" s="98">
        <f ca="1">K20</f>
        <v>155514.16174918445</v>
      </c>
      <c r="T72" s="98">
        <f ca="1">K21</f>
        <v>155514.16174918445</v>
      </c>
      <c r="U72" s="98">
        <f ca="1">K22</f>
        <v>155514.16174918445</v>
      </c>
      <c r="V72" s="98">
        <f ca="1">K23</f>
        <v>155514.16174918445</v>
      </c>
      <c r="W72" s="98">
        <f ca="1">K24</f>
        <v>155514.16174918445</v>
      </c>
      <c r="X72" s="98">
        <f ca="1">K25</f>
        <v>155514.16174918445</v>
      </c>
      <c r="Y72" s="98">
        <f ca="1">K26</f>
        <v>155514.16174918445</v>
      </c>
      <c r="Z72" s="98">
        <f ca="1">K27</f>
        <v>155514.16174918445</v>
      </c>
      <c r="AA72" s="98">
        <f ca="1">K28</f>
        <v>155514.16174918445</v>
      </c>
      <c r="AB72" s="98">
        <f ca="1">K29</f>
        <v>155514.16174918445</v>
      </c>
      <c r="AC72" s="98">
        <f ca="1">K30</f>
        <v>155514.16174918445</v>
      </c>
      <c r="AD72" s="98">
        <f ca="1">K31</f>
        <v>155514.16174918445</v>
      </c>
      <c r="AE72" s="98">
        <f ca="1">K32</f>
        <v>155514.16174918445</v>
      </c>
      <c r="AF72" s="98">
        <f ca="1">K33</f>
        <v>155514.16174918445</v>
      </c>
      <c r="AG72" s="98">
        <f ca="1">K34</f>
        <v>155514.16174918445</v>
      </c>
      <c r="AH72" s="98">
        <f ca="1">K35</f>
        <v>155514.16174918445</v>
      </c>
      <c r="AI72" s="98">
        <f ca="1">K36</f>
        <v>155514.16174918445</v>
      </c>
      <c r="AJ72" s="98">
        <f ca="1">K37</f>
        <v>155514.16174918445</v>
      </c>
      <c r="AK72" s="98">
        <f ca="1">K38</f>
        <v>155514.16174918445</v>
      </c>
      <c r="AL72" s="98">
        <f ca="1">K39</f>
        <v>155514.16174918445</v>
      </c>
      <c r="AM72" s="98">
        <f ca="1">K40</f>
        <v>155514.16174918445</v>
      </c>
      <c r="AN72" s="98">
        <f ca="1">K41</f>
        <v>155514.16174918445</v>
      </c>
      <c r="AO72" s="98">
        <f ca="1">K42</f>
        <v>155514.16174918445</v>
      </c>
      <c r="AP72" s="98">
        <f ca="1">K43</f>
        <v>155514.16174918445</v>
      </c>
    </row>
    <row r="73" spans="1:43" s="97" customFormat="1">
      <c r="A73" s="96">
        <v>73</v>
      </c>
      <c r="B73" s="136" t="str">
        <f>U3</f>
        <v>Loan payment</v>
      </c>
      <c r="C73" s="98">
        <f>U4</f>
        <v>0</v>
      </c>
      <c r="D73" s="98">
        <f>U5</f>
        <v>0</v>
      </c>
      <c r="E73" s="98">
        <f>U6</f>
        <v>452551.63984879805</v>
      </c>
      <c r="F73" s="98">
        <f>U7</f>
        <v>452551.63984879805</v>
      </c>
      <c r="G73" s="98">
        <f>U8</f>
        <v>452551.63984879805</v>
      </c>
      <c r="H73" s="98">
        <f>U9</f>
        <v>452551.63984879805</v>
      </c>
      <c r="I73" s="98">
        <f>U10</f>
        <v>452551.63984879805</v>
      </c>
      <c r="J73" s="98">
        <f>U11</f>
        <v>452551.63984879805</v>
      </c>
      <c r="K73" s="98">
        <f>U12</f>
        <v>452551.63984879805</v>
      </c>
      <c r="L73" s="98">
        <f>U13</f>
        <v>452551.63984879805</v>
      </c>
      <c r="M73" s="98">
        <f>U14</f>
        <v>452551.63984879805</v>
      </c>
      <c r="N73" s="98">
        <f>U15</f>
        <v>452551.63984879805</v>
      </c>
      <c r="O73" s="98">
        <f>U16</f>
        <v>452551.63984879805</v>
      </c>
      <c r="P73" s="98">
        <f>U17</f>
        <v>452551.63984879805</v>
      </c>
      <c r="Q73" s="98">
        <f>U18</f>
        <v>452551.63984879805</v>
      </c>
      <c r="R73" s="98">
        <f>U19</f>
        <v>452551.63984879805</v>
      </c>
      <c r="S73" s="98">
        <f>U20</f>
        <v>452551.63984879805</v>
      </c>
      <c r="T73" s="98">
        <f>U21</f>
        <v>452551.63984879805</v>
      </c>
      <c r="U73" s="98">
        <f>U22</f>
        <v>452551.63984879805</v>
      </c>
      <c r="V73" s="98">
        <f>U23</f>
        <v>452551.63984879805</v>
      </c>
      <c r="W73" s="98">
        <f>U24</f>
        <v>452551.63984879805</v>
      </c>
      <c r="X73" s="98">
        <f>U25</f>
        <v>452551.63984879805</v>
      </c>
      <c r="Y73" s="98">
        <f>U26</f>
        <v>0</v>
      </c>
      <c r="Z73" s="98">
        <f>U27</f>
        <v>0</v>
      </c>
      <c r="AA73" s="98">
        <f>U28</f>
        <v>0</v>
      </c>
      <c r="AB73" s="98">
        <f>U29</f>
        <v>0</v>
      </c>
      <c r="AC73" s="98">
        <f>U30</f>
        <v>0</v>
      </c>
      <c r="AD73" s="98">
        <f>U31</f>
        <v>0</v>
      </c>
      <c r="AE73" s="98">
        <f>U32</f>
        <v>0</v>
      </c>
      <c r="AF73" s="98">
        <f>U33</f>
        <v>0</v>
      </c>
      <c r="AG73" s="98">
        <f>U34</f>
        <v>0</v>
      </c>
      <c r="AH73" s="98">
        <f>U35</f>
        <v>0</v>
      </c>
      <c r="AI73" s="98">
        <f>U36</f>
        <v>0</v>
      </c>
      <c r="AJ73" s="98">
        <f>U37</f>
        <v>0</v>
      </c>
      <c r="AK73" s="98">
        <f>U38</f>
        <v>0</v>
      </c>
      <c r="AL73" s="98">
        <f>U39</f>
        <v>0</v>
      </c>
      <c r="AM73" s="98">
        <f>U40</f>
        <v>0</v>
      </c>
      <c r="AN73" s="98">
        <f>U41</f>
        <v>0</v>
      </c>
      <c r="AO73" s="98">
        <f>U42</f>
        <v>0</v>
      </c>
      <c r="AP73" s="98">
        <f>U43</f>
        <v>0</v>
      </c>
      <c r="AQ73" s="98"/>
    </row>
    <row r="74" spans="1:43" s="96" customFormat="1">
      <c r="A74" s="96">
        <v>74</v>
      </c>
      <c r="B74" s="138" t="s">
        <v>13</v>
      </c>
      <c r="C74" s="97">
        <f>O4</f>
        <v>2</v>
      </c>
      <c r="D74" s="97">
        <f>O5</f>
        <v>2</v>
      </c>
      <c r="E74" s="97">
        <f>O6</f>
        <v>2</v>
      </c>
      <c r="F74" s="97">
        <f>O7</f>
        <v>2</v>
      </c>
      <c r="G74" s="97">
        <f>O8</f>
        <v>2</v>
      </c>
      <c r="H74" s="97">
        <f>O9</f>
        <v>2</v>
      </c>
      <c r="I74" s="97">
        <f>O10</f>
        <v>2</v>
      </c>
      <c r="J74" s="97">
        <f>O11</f>
        <v>2</v>
      </c>
      <c r="K74" s="97">
        <f>O12</f>
        <v>2</v>
      </c>
      <c r="L74" s="97">
        <f>O13</f>
        <v>2</v>
      </c>
      <c r="M74" s="97">
        <f>O14</f>
        <v>2</v>
      </c>
      <c r="N74" s="97">
        <f>O15</f>
        <v>2</v>
      </c>
      <c r="O74" s="97">
        <f>O16</f>
        <v>2</v>
      </c>
      <c r="P74" s="97">
        <f>O17</f>
        <v>2</v>
      </c>
      <c r="Q74" s="97">
        <f>O18</f>
        <v>2</v>
      </c>
      <c r="R74" s="97">
        <f>O19</f>
        <v>2</v>
      </c>
      <c r="S74" s="97">
        <f>O20</f>
        <v>2</v>
      </c>
      <c r="T74" s="97">
        <f>O21</f>
        <v>2</v>
      </c>
      <c r="U74" s="97">
        <f>O22</f>
        <v>2</v>
      </c>
      <c r="V74" s="97">
        <f>O23</f>
        <v>2</v>
      </c>
      <c r="W74" s="97">
        <f>O24</f>
        <v>2</v>
      </c>
      <c r="X74" s="97">
        <f>O25</f>
        <v>2</v>
      </c>
      <c r="Y74" s="97">
        <f>O26</f>
        <v>2</v>
      </c>
      <c r="Z74" s="97">
        <f>O27</f>
        <v>2</v>
      </c>
      <c r="AA74" s="97">
        <f>O28</f>
        <v>2</v>
      </c>
      <c r="AB74" s="97">
        <f>O29</f>
        <v>2</v>
      </c>
      <c r="AC74" s="97">
        <f>O30</f>
        <v>2</v>
      </c>
      <c r="AD74" s="97">
        <f>O31</f>
        <v>2</v>
      </c>
      <c r="AE74" s="97">
        <f>O32</f>
        <v>2</v>
      </c>
      <c r="AF74" s="97">
        <f>O33</f>
        <v>2</v>
      </c>
      <c r="AG74" s="97">
        <f>O34</f>
        <v>2</v>
      </c>
      <c r="AH74" s="97">
        <f>O35</f>
        <v>2</v>
      </c>
      <c r="AI74" s="97">
        <f>O36</f>
        <v>2</v>
      </c>
      <c r="AJ74" s="97">
        <f>O37</f>
        <v>2</v>
      </c>
      <c r="AK74" s="97">
        <f>O38</f>
        <v>2</v>
      </c>
      <c r="AL74" s="97">
        <f>O39</f>
        <v>2</v>
      </c>
      <c r="AM74" s="97">
        <f>O40</f>
        <v>2</v>
      </c>
      <c r="AN74" s="97">
        <f>O41</f>
        <v>2</v>
      </c>
      <c r="AO74" s="97">
        <f>O42</f>
        <v>2</v>
      </c>
      <c r="AP74" s="97">
        <f>O43</f>
        <v>2</v>
      </c>
    </row>
    <row r="75" spans="1:43" s="96" customFormat="1">
      <c r="A75" s="96">
        <v>75</v>
      </c>
      <c r="B75" s="138" t="s">
        <v>14</v>
      </c>
      <c r="C75" s="97">
        <f>P4</f>
        <v>2</v>
      </c>
      <c r="D75" s="97">
        <f>P5</f>
        <v>2</v>
      </c>
      <c r="E75" s="97">
        <f>P6</f>
        <v>2</v>
      </c>
      <c r="F75" s="97">
        <f>P7</f>
        <v>2</v>
      </c>
      <c r="G75" s="97">
        <f>P8</f>
        <v>2</v>
      </c>
      <c r="H75" s="97">
        <f>P9</f>
        <v>2</v>
      </c>
      <c r="I75" s="97">
        <f>P10</f>
        <v>2</v>
      </c>
      <c r="J75" s="97">
        <f>P11</f>
        <v>2</v>
      </c>
      <c r="K75" s="97">
        <f>P12</f>
        <v>2</v>
      </c>
      <c r="L75" s="97">
        <f>P13</f>
        <v>2</v>
      </c>
      <c r="M75" s="97">
        <f>P14</f>
        <v>2</v>
      </c>
      <c r="N75" s="97">
        <f>P15</f>
        <v>2</v>
      </c>
      <c r="O75" s="97">
        <f>P16</f>
        <v>2</v>
      </c>
      <c r="P75" s="97">
        <f>P17</f>
        <v>2</v>
      </c>
      <c r="Q75" s="97">
        <f>P18</f>
        <v>2</v>
      </c>
      <c r="R75" s="97">
        <f>P19</f>
        <v>2</v>
      </c>
      <c r="S75" s="97">
        <f>P20</f>
        <v>2</v>
      </c>
      <c r="T75" s="97">
        <f>P21</f>
        <v>2</v>
      </c>
      <c r="U75" s="97">
        <f>P22</f>
        <v>2</v>
      </c>
      <c r="V75" s="97">
        <f>P23</f>
        <v>2</v>
      </c>
      <c r="W75" s="97">
        <f>P24</f>
        <v>2</v>
      </c>
      <c r="X75" s="97">
        <f>P25</f>
        <v>2</v>
      </c>
      <c r="Y75" s="97">
        <f>P26</f>
        <v>2</v>
      </c>
      <c r="Z75" s="97">
        <f>P27</f>
        <v>2</v>
      </c>
      <c r="AA75" s="97">
        <f>P28</f>
        <v>2</v>
      </c>
      <c r="AB75" s="97">
        <f>P29</f>
        <v>2</v>
      </c>
      <c r="AC75" s="97">
        <f>P30</f>
        <v>2</v>
      </c>
      <c r="AD75" s="97">
        <f>P31</f>
        <v>2</v>
      </c>
      <c r="AE75" s="97">
        <f>P32</f>
        <v>2</v>
      </c>
      <c r="AF75" s="97">
        <f>P33</f>
        <v>2</v>
      </c>
      <c r="AG75" s="97">
        <f>P34</f>
        <v>2</v>
      </c>
      <c r="AH75" s="97">
        <f>P35</f>
        <v>2</v>
      </c>
      <c r="AI75" s="97">
        <f>P36</f>
        <v>2</v>
      </c>
      <c r="AJ75" s="97">
        <f>P37</f>
        <v>2</v>
      </c>
      <c r="AK75" s="97">
        <f>P38</f>
        <v>2</v>
      </c>
      <c r="AL75" s="97">
        <f>P39</f>
        <v>2</v>
      </c>
      <c r="AM75" s="97">
        <f>P40</f>
        <v>2</v>
      </c>
      <c r="AN75" s="97">
        <f>P41</f>
        <v>2</v>
      </c>
      <c r="AO75" s="97">
        <f>P42</f>
        <v>2</v>
      </c>
      <c r="AP75" s="97">
        <f>P43</f>
        <v>2</v>
      </c>
      <c r="AQ75" s="139"/>
    </row>
    <row r="76" spans="1:43" s="96" customFormat="1">
      <c r="A76" s="96">
        <v>76</v>
      </c>
      <c r="B76" s="138" t="s">
        <v>15</v>
      </c>
      <c r="C76" s="97">
        <f>Q4</f>
        <v>7884</v>
      </c>
      <c r="D76" s="97">
        <f>Q5</f>
        <v>7884</v>
      </c>
      <c r="E76" s="97">
        <f>Q6</f>
        <v>7884</v>
      </c>
      <c r="F76" s="97">
        <f>Q7</f>
        <v>7884</v>
      </c>
      <c r="G76" s="97">
        <f>Q8</f>
        <v>7884</v>
      </c>
      <c r="H76" s="97">
        <f>Q9</f>
        <v>7884</v>
      </c>
      <c r="I76" s="97">
        <f>Q10</f>
        <v>7884</v>
      </c>
      <c r="J76" s="97">
        <f>Q11</f>
        <v>7884</v>
      </c>
      <c r="K76" s="97">
        <f>Q12</f>
        <v>7884</v>
      </c>
      <c r="L76" s="97">
        <f>Q13</f>
        <v>7884</v>
      </c>
      <c r="M76" s="97">
        <f>Q14</f>
        <v>7884</v>
      </c>
      <c r="N76" s="97">
        <f>Q15</f>
        <v>7884</v>
      </c>
      <c r="O76" s="97">
        <f>Q16</f>
        <v>7884</v>
      </c>
      <c r="P76" s="97">
        <f>Q17</f>
        <v>7884</v>
      </c>
      <c r="Q76" s="97">
        <f>Q18</f>
        <v>7884</v>
      </c>
      <c r="R76" s="97">
        <f>Q19</f>
        <v>7884</v>
      </c>
      <c r="S76" s="97">
        <f>Q20</f>
        <v>7884</v>
      </c>
      <c r="T76" s="97">
        <f>Q21</f>
        <v>7884</v>
      </c>
      <c r="U76" s="97">
        <f>Q22</f>
        <v>7884</v>
      </c>
      <c r="V76" s="97">
        <f>Q23</f>
        <v>7884</v>
      </c>
      <c r="W76" s="97">
        <f>Q24</f>
        <v>7884</v>
      </c>
      <c r="X76" s="97">
        <f>Q25</f>
        <v>7884</v>
      </c>
      <c r="Y76" s="97">
        <f>Q26</f>
        <v>7884</v>
      </c>
      <c r="Z76" s="97">
        <f>Q27</f>
        <v>7884</v>
      </c>
      <c r="AA76" s="97">
        <f>Q28</f>
        <v>7884</v>
      </c>
      <c r="AB76" s="97">
        <f>Q29</f>
        <v>7884</v>
      </c>
      <c r="AC76" s="97">
        <f>Q30</f>
        <v>7884</v>
      </c>
      <c r="AD76" s="97">
        <f>Q31</f>
        <v>7884</v>
      </c>
      <c r="AE76" s="97">
        <f>Q32</f>
        <v>7884</v>
      </c>
      <c r="AF76" s="97">
        <f>Q33</f>
        <v>7884</v>
      </c>
      <c r="AG76" s="97">
        <f>Q34</f>
        <v>7884</v>
      </c>
      <c r="AH76" s="97">
        <f>Q35</f>
        <v>7884</v>
      </c>
      <c r="AI76" s="97">
        <f>Q36</f>
        <v>7884</v>
      </c>
      <c r="AJ76" s="97">
        <f>Q37</f>
        <v>7884</v>
      </c>
      <c r="AK76" s="97">
        <f>Q38</f>
        <v>7884</v>
      </c>
      <c r="AL76" s="97">
        <f>Q39</f>
        <v>7884</v>
      </c>
      <c r="AM76" s="97">
        <f>Q40</f>
        <v>7884</v>
      </c>
      <c r="AN76" s="97">
        <f>Q41</f>
        <v>7884</v>
      </c>
      <c r="AO76" s="97">
        <f>Q42</f>
        <v>7884</v>
      </c>
      <c r="AP76" s="97">
        <f>Q43</f>
        <v>7884</v>
      </c>
    </row>
    <row r="77" spans="1:43" s="96" customFormat="1">
      <c r="A77" s="96">
        <v>77</v>
      </c>
      <c r="B77" s="138" t="s">
        <v>16</v>
      </c>
      <c r="C77" s="98">
        <f>R4</f>
        <v>15768</v>
      </c>
      <c r="D77" s="98">
        <f>R5</f>
        <v>15768</v>
      </c>
      <c r="E77" s="98">
        <f>R6</f>
        <v>15768</v>
      </c>
      <c r="F77" s="98">
        <f>R7</f>
        <v>15768</v>
      </c>
      <c r="G77" s="98">
        <f>R8</f>
        <v>15768</v>
      </c>
      <c r="H77" s="98">
        <f>R9</f>
        <v>15768</v>
      </c>
      <c r="I77" s="98">
        <f>R10</f>
        <v>15768</v>
      </c>
      <c r="J77" s="98">
        <f>R11</f>
        <v>15768</v>
      </c>
      <c r="K77" s="98">
        <f>R12</f>
        <v>15768</v>
      </c>
      <c r="L77" s="98">
        <f>R13</f>
        <v>15768</v>
      </c>
      <c r="M77" s="98">
        <f>R14</f>
        <v>15768</v>
      </c>
      <c r="N77" s="98">
        <f>R15</f>
        <v>15768</v>
      </c>
      <c r="O77" s="98">
        <f>R16</f>
        <v>15768</v>
      </c>
      <c r="P77" s="98">
        <f>R17</f>
        <v>15768</v>
      </c>
      <c r="Q77" s="98">
        <f>R18</f>
        <v>15768</v>
      </c>
      <c r="R77" s="98">
        <f>R19</f>
        <v>15768</v>
      </c>
      <c r="S77" s="98">
        <f>R20</f>
        <v>15768</v>
      </c>
      <c r="T77" s="98">
        <f>R21</f>
        <v>15768</v>
      </c>
      <c r="U77" s="98">
        <f>R22</f>
        <v>15768</v>
      </c>
      <c r="V77" s="98">
        <f>R23</f>
        <v>15768</v>
      </c>
      <c r="W77" s="98">
        <f>R24</f>
        <v>15768</v>
      </c>
      <c r="X77" s="98">
        <f>R25</f>
        <v>15768</v>
      </c>
      <c r="Y77" s="98">
        <f>R26</f>
        <v>15768</v>
      </c>
      <c r="Z77" s="98">
        <f>R27</f>
        <v>15768</v>
      </c>
      <c r="AA77" s="98">
        <f>R28</f>
        <v>15768</v>
      </c>
      <c r="AB77" s="98">
        <f>R29</f>
        <v>15768</v>
      </c>
      <c r="AC77" s="98">
        <f>R30</f>
        <v>15768</v>
      </c>
      <c r="AD77" s="98">
        <f>R31</f>
        <v>15768</v>
      </c>
      <c r="AE77" s="98">
        <f>R32</f>
        <v>15768</v>
      </c>
      <c r="AF77" s="98">
        <f>R33</f>
        <v>15768</v>
      </c>
      <c r="AG77" s="98">
        <f>R34</f>
        <v>15768</v>
      </c>
      <c r="AH77" s="98">
        <f>R35</f>
        <v>15768</v>
      </c>
      <c r="AI77" s="98">
        <f>R36</f>
        <v>15768</v>
      </c>
      <c r="AJ77" s="98">
        <f>R37</f>
        <v>15768</v>
      </c>
      <c r="AK77" s="98">
        <f>R38</f>
        <v>15768</v>
      </c>
      <c r="AL77" s="98">
        <f>R39</f>
        <v>15768</v>
      </c>
      <c r="AM77" s="98">
        <f>R40</f>
        <v>15768</v>
      </c>
      <c r="AN77" s="98">
        <f>R41</f>
        <v>15768</v>
      </c>
      <c r="AO77" s="98">
        <f>R42</f>
        <v>15768</v>
      </c>
      <c r="AP77" s="98">
        <f>R43</f>
        <v>15768</v>
      </c>
    </row>
    <row r="78" spans="1:43" s="96" customFormat="1">
      <c r="A78" s="96">
        <v>78</v>
      </c>
      <c r="B78" s="138" t="s">
        <v>17</v>
      </c>
      <c r="C78" s="196">
        <f>S4</f>
        <v>3.85E-2</v>
      </c>
      <c r="D78" s="196">
        <f>S5</f>
        <v>3.85E-2</v>
      </c>
      <c r="E78" s="196">
        <f>S6</f>
        <v>3.85E-2</v>
      </c>
      <c r="F78" s="196">
        <f>S7</f>
        <v>3.85E-2</v>
      </c>
      <c r="G78" s="196">
        <f>S8</f>
        <v>3.85E-2</v>
      </c>
      <c r="H78" s="196">
        <f>S9</f>
        <v>3.85E-2</v>
      </c>
      <c r="I78" s="196">
        <f>S10</f>
        <v>3.85E-2</v>
      </c>
      <c r="J78" s="196">
        <f>S11</f>
        <v>3.85E-2</v>
      </c>
      <c r="K78" s="196">
        <f>S12</f>
        <v>3.85E-2</v>
      </c>
      <c r="L78" s="196">
        <f>S13</f>
        <v>3.85E-2</v>
      </c>
      <c r="M78" s="196">
        <f>S14</f>
        <v>3.85E-2</v>
      </c>
      <c r="N78" s="196">
        <f>S15</f>
        <v>3.85E-2</v>
      </c>
      <c r="O78" s="196">
        <f>S16</f>
        <v>3.85E-2</v>
      </c>
      <c r="P78" s="196">
        <f>S17</f>
        <v>3.85E-2</v>
      </c>
      <c r="Q78" s="196">
        <f>S18</f>
        <v>3.85E-2</v>
      </c>
      <c r="R78" s="196">
        <f>S19</f>
        <v>3.85E-2</v>
      </c>
      <c r="S78" s="196">
        <f>S20</f>
        <v>3.85E-2</v>
      </c>
      <c r="T78" s="196">
        <f>S21</f>
        <v>3.85E-2</v>
      </c>
      <c r="U78" s="196">
        <f>S22</f>
        <v>3.85E-2</v>
      </c>
      <c r="V78" s="196">
        <f>S23</f>
        <v>3.85E-2</v>
      </c>
      <c r="W78" s="196">
        <f>S24</f>
        <v>3.85E-2</v>
      </c>
      <c r="X78" s="196">
        <f>S25</f>
        <v>3.85E-2</v>
      </c>
      <c r="Y78" s="196">
        <f>S26</f>
        <v>3.85E-2</v>
      </c>
      <c r="Z78" s="196">
        <f>S27</f>
        <v>3.85E-2</v>
      </c>
      <c r="AA78" s="196">
        <f>S28</f>
        <v>3.85E-2</v>
      </c>
      <c r="AB78" s="196">
        <f>S29</f>
        <v>3.85E-2</v>
      </c>
      <c r="AC78" s="196">
        <f>S30</f>
        <v>3.85E-2</v>
      </c>
      <c r="AD78" s="196">
        <f>S31</f>
        <v>3.85E-2</v>
      </c>
      <c r="AE78" s="196">
        <f>S32</f>
        <v>3.85E-2</v>
      </c>
      <c r="AF78" s="196">
        <f>S33</f>
        <v>3.85E-2</v>
      </c>
      <c r="AG78" s="196">
        <f>S34</f>
        <v>3.85E-2</v>
      </c>
      <c r="AH78" s="196">
        <f>S35</f>
        <v>3.85E-2</v>
      </c>
      <c r="AI78" s="196">
        <f>S36</f>
        <v>3.85E-2</v>
      </c>
      <c r="AJ78" s="196">
        <f>S37</f>
        <v>3.85E-2</v>
      </c>
      <c r="AK78" s="196">
        <f>S38</f>
        <v>3.85E-2</v>
      </c>
      <c r="AL78" s="196">
        <f>S39</f>
        <v>3.85E-2</v>
      </c>
      <c r="AM78" s="196">
        <f>S40</f>
        <v>3.85E-2</v>
      </c>
      <c r="AN78" s="196">
        <f>S41</f>
        <v>3.85E-2</v>
      </c>
      <c r="AO78" s="196">
        <f>S42</f>
        <v>3.85E-2</v>
      </c>
      <c r="AP78" s="196">
        <f>S43</f>
        <v>3.85E-2</v>
      </c>
    </row>
    <row r="79" spans="1:43" s="96" customFormat="1">
      <c r="A79" s="96">
        <v>79</v>
      </c>
      <c r="B79" s="138" t="s">
        <v>18</v>
      </c>
      <c r="C79" s="134">
        <f>T4</f>
        <v>0</v>
      </c>
      <c r="D79" s="134">
        <f>T5</f>
        <v>0</v>
      </c>
      <c r="E79" s="134">
        <f>T6</f>
        <v>607068</v>
      </c>
      <c r="F79" s="134">
        <f>T7</f>
        <v>607068</v>
      </c>
      <c r="G79" s="134">
        <f>T8</f>
        <v>607068</v>
      </c>
      <c r="H79" s="134">
        <f>T9</f>
        <v>607068</v>
      </c>
      <c r="I79" s="134">
        <f>T10</f>
        <v>607068</v>
      </c>
      <c r="J79" s="134">
        <f>T11</f>
        <v>607068</v>
      </c>
      <c r="K79" s="134">
        <f>T12</f>
        <v>607068</v>
      </c>
      <c r="L79" s="134">
        <f>T13</f>
        <v>607068</v>
      </c>
      <c r="M79" s="134">
        <f>T14</f>
        <v>607068</v>
      </c>
      <c r="N79" s="134">
        <f>T15</f>
        <v>607068</v>
      </c>
      <c r="O79" s="134">
        <f>T16</f>
        <v>607068</v>
      </c>
      <c r="P79" s="134">
        <f>T17</f>
        <v>607068</v>
      </c>
      <c r="Q79" s="134">
        <f>T18</f>
        <v>607068</v>
      </c>
      <c r="R79" s="134">
        <f>T19</f>
        <v>607068</v>
      </c>
      <c r="S79" s="134">
        <f>T20</f>
        <v>607068</v>
      </c>
      <c r="T79" s="134">
        <f>T21</f>
        <v>607068</v>
      </c>
      <c r="U79" s="134">
        <f>T22</f>
        <v>607068</v>
      </c>
      <c r="V79" s="134">
        <f>T23</f>
        <v>607068</v>
      </c>
      <c r="W79" s="134">
        <f>T24</f>
        <v>607068</v>
      </c>
      <c r="X79" s="134">
        <f>T25</f>
        <v>607068</v>
      </c>
      <c r="Y79" s="134">
        <f>T26</f>
        <v>607068</v>
      </c>
      <c r="Z79" s="134">
        <f>T27</f>
        <v>607068</v>
      </c>
      <c r="AA79" s="134">
        <f>T28</f>
        <v>607068</v>
      </c>
      <c r="AB79" s="134">
        <f>T29</f>
        <v>607068</v>
      </c>
      <c r="AC79" s="134">
        <f>T30</f>
        <v>607068</v>
      </c>
      <c r="AD79" s="134">
        <f>T31</f>
        <v>607068</v>
      </c>
      <c r="AE79" s="134">
        <f>T32</f>
        <v>607068</v>
      </c>
      <c r="AF79" s="134">
        <f>T33</f>
        <v>607068</v>
      </c>
      <c r="AG79" s="134">
        <f>T34</f>
        <v>607068</v>
      </c>
      <c r="AH79" s="134">
        <f>T35</f>
        <v>607068</v>
      </c>
      <c r="AI79" s="134">
        <f>T36</f>
        <v>607068</v>
      </c>
      <c r="AJ79" s="134">
        <f>T37</f>
        <v>607068</v>
      </c>
      <c r="AK79" s="134">
        <f>T38</f>
        <v>607068</v>
      </c>
      <c r="AL79" s="134">
        <f>T39</f>
        <v>607068</v>
      </c>
      <c r="AM79" s="134">
        <f>T40</f>
        <v>607068</v>
      </c>
      <c r="AN79" s="134">
        <f>T41</f>
        <v>607068</v>
      </c>
      <c r="AO79" s="134">
        <f>T42</f>
        <v>607068</v>
      </c>
      <c r="AP79" s="134">
        <f>T43</f>
        <v>607068</v>
      </c>
    </row>
    <row r="80" spans="1:43" s="96" customFormat="1">
      <c r="A80" s="96">
        <v>80</v>
      </c>
      <c r="B80" s="138" t="s">
        <v>19</v>
      </c>
      <c r="C80" s="98">
        <f>U4</f>
        <v>0</v>
      </c>
      <c r="D80" s="98">
        <f>U5</f>
        <v>0</v>
      </c>
      <c r="E80" s="98">
        <f>U6</f>
        <v>452551.63984879805</v>
      </c>
      <c r="F80" s="98">
        <f>U7</f>
        <v>452551.63984879805</v>
      </c>
      <c r="G80" s="98">
        <f>U8</f>
        <v>452551.63984879805</v>
      </c>
      <c r="H80" s="98">
        <f>U9</f>
        <v>452551.63984879805</v>
      </c>
      <c r="I80" s="98">
        <f>U10</f>
        <v>452551.63984879805</v>
      </c>
      <c r="J80" s="98">
        <f>U11</f>
        <v>452551.63984879805</v>
      </c>
      <c r="K80" s="98">
        <f>U12</f>
        <v>452551.63984879805</v>
      </c>
      <c r="L80" s="98">
        <f>U13</f>
        <v>452551.63984879805</v>
      </c>
      <c r="M80" s="98">
        <f>U14</f>
        <v>452551.63984879805</v>
      </c>
      <c r="N80" s="98">
        <f>U15</f>
        <v>452551.63984879805</v>
      </c>
      <c r="O80" s="98">
        <f>U16</f>
        <v>452551.63984879805</v>
      </c>
      <c r="P80" s="98">
        <f>U17</f>
        <v>452551.63984879805</v>
      </c>
      <c r="Q80" s="98">
        <f>U18</f>
        <v>452551.63984879805</v>
      </c>
      <c r="R80" s="98">
        <f>U19</f>
        <v>452551.63984879805</v>
      </c>
      <c r="S80" s="98">
        <f>U20</f>
        <v>452551.63984879805</v>
      </c>
      <c r="T80" s="98">
        <f>U21</f>
        <v>452551.63984879805</v>
      </c>
      <c r="U80" s="98">
        <f>U22</f>
        <v>452551.63984879805</v>
      </c>
      <c r="V80" s="98">
        <f>U23</f>
        <v>452551.63984879805</v>
      </c>
      <c r="W80" s="98">
        <f>U24</f>
        <v>452551.63984879805</v>
      </c>
      <c r="X80" s="98">
        <f>U25</f>
        <v>452551.63984879805</v>
      </c>
      <c r="Y80" s="98">
        <f>U26</f>
        <v>0</v>
      </c>
      <c r="Z80" s="98">
        <f>U27</f>
        <v>0</v>
      </c>
      <c r="AA80" s="98">
        <f>U28</f>
        <v>0</v>
      </c>
      <c r="AB80" s="98">
        <f>U29</f>
        <v>0</v>
      </c>
      <c r="AC80" s="98">
        <f>U30</f>
        <v>0</v>
      </c>
      <c r="AD80" s="98">
        <f>U31</f>
        <v>0</v>
      </c>
      <c r="AE80" s="98">
        <f>U32</f>
        <v>0</v>
      </c>
      <c r="AF80" s="98">
        <f>U33</f>
        <v>0</v>
      </c>
      <c r="AG80" s="98">
        <f>U34</f>
        <v>0</v>
      </c>
      <c r="AH80" s="98">
        <f>U35</f>
        <v>0</v>
      </c>
      <c r="AI80" s="98">
        <f>U36</f>
        <v>0</v>
      </c>
      <c r="AJ80" s="98">
        <f>U37</f>
        <v>0</v>
      </c>
      <c r="AK80" s="98">
        <f>U38</f>
        <v>0</v>
      </c>
      <c r="AL80" s="98">
        <f>U39</f>
        <v>0</v>
      </c>
      <c r="AM80" s="98">
        <f>U40</f>
        <v>0</v>
      </c>
      <c r="AN80" s="98">
        <f>U41</f>
        <v>0</v>
      </c>
      <c r="AO80" s="98">
        <f>U42</f>
        <v>0</v>
      </c>
      <c r="AP80" s="98">
        <f>U43</f>
        <v>0</v>
      </c>
    </row>
    <row r="81" spans="1:42" s="96" customFormat="1">
      <c r="A81" s="96">
        <v>81</v>
      </c>
      <c r="B81" s="138" t="s">
        <v>20</v>
      </c>
      <c r="C81" s="134">
        <f>V4</f>
        <v>0</v>
      </c>
      <c r="D81" s="134">
        <f>V5</f>
        <v>0</v>
      </c>
      <c r="E81" s="134">
        <f>V6</f>
        <v>124000</v>
      </c>
      <c r="F81" s="134">
        <f>V7</f>
        <v>124000</v>
      </c>
      <c r="G81" s="134">
        <f>V8</f>
        <v>124000</v>
      </c>
      <c r="H81" s="134">
        <f>V9</f>
        <v>124000</v>
      </c>
      <c r="I81" s="134">
        <f>V10</f>
        <v>124000</v>
      </c>
      <c r="J81" s="134">
        <f>V11</f>
        <v>124000</v>
      </c>
      <c r="K81" s="134">
        <f>V12</f>
        <v>124000</v>
      </c>
      <c r="L81" s="134">
        <f>V13</f>
        <v>124000</v>
      </c>
      <c r="M81" s="134">
        <f>V14</f>
        <v>124000</v>
      </c>
      <c r="N81" s="134">
        <f>V15</f>
        <v>124000</v>
      </c>
      <c r="O81" s="134">
        <f>V16</f>
        <v>124000</v>
      </c>
      <c r="P81" s="134">
        <f>V17</f>
        <v>124000</v>
      </c>
      <c r="Q81" s="134">
        <f>V18</f>
        <v>124000</v>
      </c>
      <c r="R81" s="134">
        <f>V19</f>
        <v>124000</v>
      </c>
      <c r="S81" s="134">
        <f>V20</f>
        <v>124000</v>
      </c>
      <c r="T81" s="134">
        <f>V21</f>
        <v>124000</v>
      </c>
      <c r="U81" s="134">
        <f>V22</f>
        <v>124000</v>
      </c>
      <c r="V81" s="134">
        <f>V23</f>
        <v>124000</v>
      </c>
      <c r="W81" s="134">
        <f>V24</f>
        <v>124000</v>
      </c>
      <c r="X81" s="134">
        <f>V25</f>
        <v>124000</v>
      </c>
      <c r="Y81" s="134">
        <f>V26</f>
        <v>324000</v>
      </c>
      <c r="Z81" s="134">
        <f>V27</f>
        <v>324000</v>
      </c>
      <c r="AA81" s="134">
        <f>V28</f>
        <v>324000</v>
      </c>
      <c r="AB81" s="134">
        <f>V29</f>
        <v>324000</v>
      </c>
      <c r="AC81" s="134">
        <f>V30</f>
        <v>324000</v>
      </c>
      <c r="AD81" s="134">
        <f>V31</f>
        <v>324000</v>
      </c>
      <c r="AE81" s="134">
        <f>V32</f>
        <v>324000</v>
      </c>
      <c r="AF81" s="134">
        <f>V33</f>
        <v>324000</v>
      </c>
      <c r="AG81" s="134">
        <f>V34</f>
        <v>324000</v>
      </c>
      <c r="AH81" s="134">
        <f>V35</f>
        <v>324000</v>
      </c>
      <c r="AI81" s="134">
        <f>V36</f>
        <v>324000</v>
      </c>
      <c r="AJ81" s="134">
        <f>V37</f>
        <v>324000</v>
      </c>
      <c r="AK81" s="134">
        <f>V38</f>
        <v>324000</v>
      </c>
      <c r="AL81" s="134">
        <f>V39</f>
        <v>324000</v>
      </c>
      <c r="AM81" s="134">
        <f>V40</f>
        <v>324000</v>
      </c>
      <c r="AN81" s="134">
        <f>V41</f>
        <v>324000</v>
      </c>
      <c r="AO81" s="134">
        <f>V42</f>
        <v>324000</v>
      </c>
      <c r="AP81" s="134">
        <f>V43</f>
        <v>324000</v>
      </c>
    </row>
    <row r="82" spans="1:42" s="96" customFormat="1">
      <c r="A82" s="96">
        <v>82</v>
      </c>
      <c r="B82" s="138" t="s">
        <v>11</v>
      </c>
      <c r="C82" s="135">
        <f>W4</f>
        <v>0</v>
      </c>
      <c r="D82" s="135">
        <f>W5</f>
        <v>0</v>
      </c>
      <c r="E82" s="135">
        <f>W6</f>
        <v>30516.360151201952</v>
      </c>
      <c r="F82" s="135">
        <f>W7</f>
        <v>30516.360151201952</v>
      </c>
      <c r="G82" s="135">
        <f>W8</f>
        <v>30516.360151201952</v>
      </c>
      <c r="H82" s="135">
        <f>W9</f>
        <v>30516.360151201952</v>
      </c>
      <c r="I82" s="135">
        <f>W10</f>
        <v>30516.360151201952</v>
      </c>
      <c r="J82" s="135">
        <f>W11</f>
        <v>30516.360151201952</v>
      </c>
      <c r="K82" s="135">
        <f>W12</f>
        <v>30516.360151201952</v>
      </c>
      <c r="L82" s="135">
        <f>W13</f>
        <v>30516.360151201952</v>
      </c>
      <c r="M82" s="135">
        <f>W14</f>
        <v>30516.360151201952</v>
      </c>
      <c r="N82" s="135">
        <f>W15</f>
        <v>30516.360151201952</v>
      </c>
      <c r="O82" s="135">
        <f>W16</f>
        <v>30516.360151201952</v>
      </c>
      <c r="P82" s="135">
        <f>W17</f>
        <v>30516.360151201952</v>
      </c>
      <c r="Q82" s="135">
        <f>W18</f>
        <v>30516.360151201952</v>
      </c>
      <c r="R82" s="135">
        <f>W19</f>
        <v>30516.360151201952</v>
      </c>
      <c r="S82" s="135">
        <f>W20</f>
        <v>30516.360151201952</v>
      </c>
      <c r="T82" s="135">
        <f>W21</f>
        <v>30516.360151201952</v>
      </c>
      <c r="U82" s="135">
        <f>W22</f>
        <v>30516.360151201952</v>
      </c>
      <c r="V82" s="135">
        <f>W23</f>
        <v>30516.360151201952</v>
      </c>
      <c r="W82" s="135">
        <f>W24</f>
        <v>30516.360151201952</v>
      </c>
      <c r="X82" s="135">
        <f>W25</f>
        <v>30516.360151201952</v>
      </c>
      <c r="Y82" s="135">
        <f>W26</f>
        <v>283068</v>
      </c>
      <c r="Z82" s="135">
        <f>W27</f>
        <v>283068</v>
      </c>
      <c r="AA82" s="135">
        <f>W28</f>
        <v>283068</v>
      </c>
      <c r="AB82" s="135">
        <f>W29</f>
        <v>283068</v>
      </c>
      <c r="AC82" s="135">
        <f>W30</f>
        <v>283068</v>
      </c>
      <c r="AD82" s="135">
        <f>W31</f>
        <v>283068</v>
      </c>
      <c r="AE82" s="135">
        <f>W32</f>
        <v>283068</v>
      </c>
      <c r="AF82" s="135">
        <f>W33</f>
        <v>283068</v>
      </c>
      <c r="AG82" s="135">
        <f>W34</f>
        <v>283068</v>
      </c>
      <c r="AH82" s="135">
        <f>W35</f>
        <v>283068</v>
      </c>
      <c r="AI82" s="135">
        <f>W36</f>
        <v>283068</v>
      </c>
      <c r="AJ82" s="135">
        <f>W37</f>
        <v>283068</v>
      </c>
      <c r="AK82" s="135">
        <f>W38</f>
        <v>283068</v>
      </c>
      <c r="AL82" s="135">
        <f>W39</f>
        <v>283068</v>
      </c>
      <c r="AM82" s="135">
        <f>W40</f>
        <v>283068</v>
      </c>
      <c r="AN82" s="135">
        <f>W41</f>
        <v>283068</v>
      </c>
      <c r="AO82" s="135">
        <f>W42</f>
        <v>283068</v>
      </c>
      <c r="AP82" s="135">
        <f>W43</f>
        <v>283068</v>
      </c>
    </row>
    <row r="83" spans="1:42">
      <c r="A83" s="96">
        <v>83</v>
      </c>
      <c r="B83" s="138" t="s">
        <v>210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1:42">
      <c r="E84" s="60"/>
      <c r="F84" s="60"/>
    </row>
    <row r="85" spans="1:42">
      <c r="E85" s="60"/>
      <c r="F85" s="60"/>
    </row>
    <row r="86" spans="1:42">
      <c r="A86" s="62" t="str">
        <f>"'Calcs'!$" &amp; INDEX($E$65:$AP$65,1,MATCH(A88,$E$66:$AP$66)) &amp; "$" &amp; A83 &amp; ":$" &amp; INDEX($E$65:$AP$65,1,MATCH((A88+Form!O$52-1),$E$66:$AP$66)) &amp; "$" &amp; A83</f>
        <v>'Calcs'!$E$83:$X$83</v>
      </c>
      <c r="E86" s="60"/>
      <c r="F86" s="60"/>
    </row>
    <row r="87" spans="1:42">
      <c r="E87" s="60"/>
      <c r="F87" s="60"/>
    </row>
    <row r="88" spans="1:42">
      <c r="A88">
        <v>2019</v>
      </c>
      <c r="E88" s="60"/>
      <c r="F88" s="60"/>
    </row>
    <row r="89" spans="1:42">
      <c r="E89" s="60"/>
      <c r="F89" s="60"/>
    </row>
    <row r="90" spans="1:42">
      <c r="E90" s="60"/>
      <c r="F90" s="60"/>
    </row>
    <row r="91" spans="1:42">
      <c r="E91" s="60"/>
      <c r="F91" s="60"/>
    </row>
    <row r="92" spans="1:42">
      <c r="E92" s="60"/>
      <c r="F92" s="60"/>
    </row>
    <row r="93" spans="1:42">
      <c r="E93" s="60"/>
      <c r="F93" s="60"/>
    </row>
    <row r="94" spans="1:42">
      <c r="E94" s="60"/>
      <c r="F94" s="60"/>
    </row>
    <row r="95" spans="1:42">
      <c r="E95" s="60"/>
      <c r="F95" s="60"/>
    </row>
    <row r="96" spans="1:42">
      <c r="E96" s="60"/>
      <c r="F96" s="60"/>
    </row>
    <row r="97" spans="5:6">
      <c r="E97" s="60"/>
      <c r="F97" s="60"/>
    </row>
    <row r="98" spans="5:6">
      <c r="E98" s="60"/>
      <c r="F98" s="60"/>
    </row>
    <row r="99" spans="5:6">
      <c r="E99" s="60"/>
      <c r="F99" s="60"/>
    </row>
    <row r="100" spans="5:6">
      <c r="E100" s="60"/>
      <c r="F100" s="60"/>
    </row>
    <row r="101" spans="5:6">
      <c r="E101" s="60"/>
      <c r="F101" s="60"/>
    </row>
    <row r="102" spans="5:6">
      <c r="E102" s="60"/>
      <c r="F102" s="60"/>
    </row>
    <row r="103" spans="5:6">
      <c r="E103" s="60"/>
      <c r="F103" s="60"/>
    </row>
    <row r="104" spans="5:6">
      <c r="E104" s="60"/>
      <c r="F104" s="60"/>
    </row>
    <row r="105" spans="5:6">
      <c r="E105" s="60"/>
      <c r="F105" s="60"/>
    </row>
    <row r="106" spans="5:6">
      <c r="E106" s="60"/>
      <c r="F106" s="60"/>
    </row>
    <row r="107" spans="5:6">
      <c r="E107" s="60"/>
      <c r="F107" s="60"/>
    </row>
    <row r="108" spans="5:6">
      <c r="E108" s="60"/>
      <c r="F108" s="60"/>
    </row>
    <row r="109" spans="5:6">
      <c r="E109" s="60"/>
      <c r="F109" s="60"/>
    </row>
    <row r="110" spans="5:6">
      <c r="E110" s="60"/>
      <c r="F110" s="60"/>
    </row>
    <row r="111" spans="5:6">
      <c r="E111" s="60"/>
      <c r="F111" s="60"/>
    </row>
    <row r="112" spans="5:6">
      <c r="E112" s="60"/>
      <c r="F112" s="60"/>
    </row>
    <row r="113" spans="5:6">
      <c r="E113" s="60"/>
      <c r="F113" s="60"/>
    </row>
    <row r="114" spans="5:6">
      <c r="E114" s="60"/>
      <c r="F114" s="60"/>
    </row>
    <row r="115" spans="5:6">
      <c r="E115" s="60"/>
      <c r="F115" s="60"/>
    </row>
    <row r="116" spans="5:6">
      <c r="E116" s="60"/>
      <c r="F116" s="60"/>
    </row>
    <row r="117" spans="5:6">
      <c r="E117" s="60"/>
      <c r="F117" s="60"/>
    </row>
    <row r="118" spans="5:6">
      <c r="E118" s="60"/>
      <c r="F118" s="60"/>
    </row>
    <row r="119" spans="5:6">
      <c r="E119" s="60"/>
      <c r="F119" s="60"/>
    </row>
  </sheetData>
  <scenarios current="1" show="1">
    <scenario name="With ITC" locked="1" count="1" user="Beej" comment="Using 2019 values of 12%._x000a_Modified by Beej on 1/8/2017">
      <inputCells r="O60" val="720000"/>
    </scenario>
    <scenario name="Without ITC" locked="1" count="1" user="Beej" comment="Created by Beej on 1/8/2017_x000a_Modified by Beej on 1/8/2017">
      <inputCells r="O60" val="0"/>
    </scenario>
  </scenarios>
  <mergeCells count="9">
    <mergeCell ref="N45:Q45"/>
    <mergeCell ref="E53:F53"/>
    <mergeCell ref="E2:L2"/>
    <mergeCell ref="A2:C2"/>
    <mergeCell ref="A40:B40"/>
    <mergeCell ref="A31:B31"/>
    <mergeCell ref="N2:W2"/>
    <mergeCell ref="A35:B35"/>
    <mergeCell ref="N53:Q53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22"/>
  <sheetViews>
    <sheetView workbookViewId="0">
      <selection activeCell="D3" sqref="D3"/>
    </sheetView>
  </sheetViews>
  <sheetFormatPr defaultRowHeight="15"/>
  <cols>
    <col min="3" max="3" width="38.28515625" bestFit="1" customWidth="1"/>
    <col min="4" max="4" width="29.7109375" bestFit="1" customWidth="1"/>
  </cols>
  <sheetData>
    <row r="1" spans="2:4">
      <c r="B1" t="s">
        <v>79</v>
      </c>
    </row>
    <row r="2" spans="2:4">
      <c r="B2" t="s">
        <v>31</v>
      </c>
      <c r="C2" t="s">
        <v>81</v>
      </c>
      <c r="D2" t="s">
        <v>82</v>
      </c>
    </row>
    <row r="3" spans="2:4">
      <c r="B3">
        <v>2017</v>
      </c>
      <c r="C3" s="41" t="e">
        <f ca="1">IF(Calcs!L$4&lt;=VLOOKUP(Form!O$29,Calcs!A$42:B$51,2,FALSE),(VLOOKUP(Form!O$26-(VLOOKUP(Form!O$30,Calcs!A$36:B$38,2,FALSE)),Calcs!A$4:C$27,2,FALSE)*Form!O$25),Calcs!F$46*Form!O$25)</f>
        <v>#N/A</v>
      </c>
      <c r="D3" s="41" t="e">
        <f ca="1">IF(Calcs!L$4&lt;=VLOOKUP(Form!O$29,Calcs!A$42:B$51,2,FALSE),(VLOOKUP(Calcs!F$48-(VLOOKUP(Form!O$30,Calcs!A$36:B$38,2,FALSE)),Calcs!A$4:C$27,3,FALSE)*Form!O$25),Calcs!F49*Form!O$25)</f>
        <v>#N/A</v>
      </c>
    </row>
    <row r="4" spans="2:4">
      <c r="B4">
        <f>B3+1</f>
        <v>2018</v>
      </c>
      <c r="C4" s="41" t="e">
        <f ca="1">IF(Calcs!L$4&lt;=VLOOKUP(Form!O$29,Calcs!A$42:B$51,2,FALSE),(VLOOKUP(Form!O$26-(VLOOKUP(Form!O$30,Calcs!A$36:B$38,2,FALSE)),Calcs!A$4:C$27,2,FALSE)*Form!O$25),Calcs!F$46*Form!O$25)</f>
        <v>#N/A</v>
      </c>
    </row>
    <row r="5" spans="2:4">
      <c r="B5">
        <f t="shared" ref="B5:B22" si="0">B4+1</f>
        <v>2019</v>
      </c>
      <c r="C5" s="41" t="e">
        <f ca="1">IF(Calcs!L$4&lt;=VLOOKUP(Form!O$29,Calcs!A$42:B$51,2,FALSE),(VLOOKUP(Form!O$26-(VLOOKUP(Form!O$30,Calcs!A$36:B$38,2,FALSE)),Calcs!A$4:C$27,2,FALSE)*Form!O$25),Calcs!F$46*Form!O$25)</f>
        <v>#N/A</v>
      </c>
    </row>
    <row r="6" spans="2:4">
      <c r="B6">
        <f t="shared" si="0"/>
        <v>2020</v>
      </c>
      <c r="C6" s="41" t="e">
        <f ca="1">IF(Calcs!L$4&lt;=VLOOKUP(Form!O$29,Calcs!A$42:B$51,2,FALSE),(VLOOKUP(Form!O$26-(VLOOKUP(Form!O$30,Calcs!A$36:B$38,2,FALSE)),Calcs!A$4:C$27,2,FALSE)*Form!O$25),Calcs!F$46*Form!O$25)</f>
        <v>#N/A</v>
      </c>
    </row>
    <row r="7" spans="2:4">
      <c r="B7">
        <f t="shared" si="0"/>
        <v>2021</v>
      </c>
      <c r="C7" s="41" t="e">
        <f ca="1">IF(Calcs!L$4&lt;=VLOOKUP(Form!O$29,Calcs!A$42:B$51,2,FALSE),(VLOOKUP(Form!O$26-(VLOOKUP(Form!O$30,Calcs!A$36:B$38,2,FALSE)),Calcs!A$4:C$27,2,FALSE)*Form!O$25),Calcs!F$46*Form!O$25)</f>
        <v>#N/A</v>
      </c>
    </row>
    <row r="8" spans="2:4">
      <c r="B8">
        <f t="shared" si="0"/>
        <v>2022</v>
      </c>
      <c r="C8" s="41" t="e">
        <f ca="1">IF(Calcs!L$4&lt;=VLOOKUP(Form!O$29,Calcs!A$42:B$51,2,FALSE),(VLOOKUP(Form!O$26-(VLOOKUP(Form!O$30,Calcs!A$36:B$38,2,FALSE)),Calcs!A$4:C$27,2,FALSE)*Form!O$25),Calcs!F$46*Form!O$25)</f>
        <v>#N/A</v>
      </c>
    </row>
    <row r="9" spans="2:4">
      <c r="B9">
        <f t="shared" si="0"/>
        <v>2023</v>
      </c>
      <c r="C9" s="41" t="e">
        <f ca="1">IF(Calcs!L$4&lt;=VLOOKUP(Form!O$29,Calcs!A$42:B$51,2,FALSE),(VLOOKUP(Form!O$26-(VLOOKUP(Form!O$30,Calcs!A$36:B$38,2,FALSE)),Calcs!A$4:C$27,2,FALSE)*Form!O$25),Calcs!F$46*Form!O$25)</f>
        <v>#N/A</v>
      </c>
    </row>
    <row r="10" spans="2:4">
      <c r="B10">
        <f t="shared" si="0"/>
        <v>2024</v>
      </c>
      <c r="C10" s="41" t="e">
        <f ca="1">IF(Calcs!L$4&lt;=VLOOKUP(Form!O$29,Calcs!A$42:B$51,2,FALSE),(VLOOKUP(Form!O$26-(VLOOKUP(Form!O$30,Calcs!A$36:B$38,2,FALSE)),Calcs!A$4:C$27,2,FALSE)*Form!O$25),Calcs!F$46*Form!O$25)</f>
        <v>#N/A</v>
      </c>
    </row>
    <row r="11" spans="2:4">
      <c r="B11">
        <f t="shared" si="0"/>
        <v>2025</v>
      </c>
      <c r="C11" s="41" t="e">
        <f ca="1">IF(Calcs!L$4&lt;=VLOOKUP(Form!O$29,Calcs!A$42:B$51,2,FALSE),(VLOOKUP(Form!O$26-(VLOOKUP(Form!O$30,Calcs!A$36:B$38,2,FALSE)),Calcs!A$4:C$27,2,FALSE)*Form!O$25),Calcs!F$46*Form!O$25)</f>
        <v>#N/A</v>
      </c>
    </row>
    <row r="12" spans="2:4">
      <c r="B12">
        <f t="shared" si="0"/>
        <v>2026</v>
      </c>
      <c r="C12" s="41" t="e">
        <f ca="1">IF(Calcs!L$4&lt;=VLOOKUP(Form!O$29,Calcs!A$42:B$51,2,FALSE),(VLOOKUP(Form!O$26-(VLOOKUP(Form!O$30,Calcs!A$36:B$38,2,FALSE)),Calcs!A$4:C$27,2,FALSE)*Form!O$25),Calcs!F$46*Form!O$25)</f>
        <v>#N/A</v>
      </c>
    </row>
    <row r="13" spans="2:4">
      <c r="B13">
        <f t="shared" si="0"/>
        <v>2027</v>
      </c>
      <c r="C13" s="41" t="e">
        <f ca="1">IF(Calcs!L$4&lt;=VLOOKUP(Form!O$29,Calcs!A$42:B$51,2,FALSE),(VLOOKUP(Form!O$26-(VLOOKUP(Form!O$30,Calcs!A$36:B$38,2,FALSE)),Calcs!A$4:C$27,2,FALSE)*Form!O$25),Calcs!F$46*Form!O$25)</f>
        <v>#N/A</v>
      </c>
    </row>
    <row r="14" spans="2:4">
      <c r="B14">
        <f t="shared" si="0"/>
        <v>2028</v>
      </c>
      <c r="C14" s="41" t="e">
        <f ca="1">IF(Calcs!L$4&lt;=VLOOKUP(Form!O$29,Calcs!A$42:B$51,2,FALSE),(VLOOKUP(Form!O$26-(VLOOKUP(Form!O$30,Calcs!A$36:B$38,2,FALSE)),Calcs!A$4:C$27,2,FALSE)*Form!O$25),Calcs!F$46*Form!O$25)</f>
        <v>#N/A</v>
      </c>
    </row>
    <row r="15" spans="2:4">
      <c r="B15">
        <f t="shared" si="0"/>
        <v>2029</v>
      </c>
      <c r="C15" s="41" t="e">
        <f ca="1">IF(Calcs!L$4&lt;=VLOOKUP(Form!O$29,Calcs!A$42:B$51,2,FALSE),(VLOOKUP(Form!O$26-(VLOOKUP(Form!O$30,Calcs!A$36:B$38,2,FALSE)),Calcs!A$4:C$27,2,FALSE)*Form!O$25),Calcs!F$46*Form!O$25)</f>
        <v>#N/A</v>
      </c>
    </row>
    <row r="16" spans="2:4">
      <c r="B16">
        <f t="shared" si="0"/>
        <v>2030</v>
      </c>
      <c r="C16" s="41" t="e">
        <f ca="1">IF(Calcs!L$4&lt;=VLOOKUP(Form!O$29,Calcs!A$42:B$51,2,FALSE),(VLOOKUP(Form!O$26-(VLOOKUP(Form!O$30,Calcs!A$36:B$38,2,FALSE)),Calcs!A$4:C$27,2,FALSE)*Form!O$25),Calcs!F$46*Form!O$25)</f>
        <v>#N/A</v>
      </c>
    </row>
    <row r="17" spans="2:3">
      <c r="B17">
        <f t="shared" si="0"/>
        <v>2031</v>
      </c>
      <c r="C17" s="41" t="e">
        <f ca="1">IF(Calcs!L$4&lt;=VLOOKUP(Form!O$29,Calcs!A$42:B$51,2,FALSE),(VLOOKUP(Form!O$26-(VLOOKUP(Form!O$30,Calcs!A$36:B$38,2,FALSE)),Calcs!A$4:C$27,2,FALSE)*Form!O$25),Calcs!F$46*Form!O$25)</f>
        <v>#N/A</v>
      </c>
    </row>
    <row r="18" spans="2:3">
      <c r="B18">
        <f t="shared" si="0"/>
        <v>2032</v>
      </c>
      <c r="C18" s="41" t="e">
        <f ca="1">IF(Calcs!L$4&lt;=VLOOKUP(Form!O$29,Calcs!A$42:B$51,2,FALSE),(VLOOKUP(Form!O$26-(VLOOKUP(Form!O$30,Calcs!A$36:B$38,2,FALSE)),Calcs!A$4:C$27,2,FALSE)*Form!O$25),Calcs!F$46*Form!O$25)</f>
        <v>#N/A</v>
      </c>
    </row>
    <row r="19" spans="2:3">
      <c r="B19">
        <f t="shared" si="0"/>
        <v>2033</v>
      </c>
      <c r="C19" s="41" t="e">
        <f ca="1">IF(Calcs!L$4&lt;=VLOOKUP(Form!O$29,Calcs!A$42:B$51,2,FALSE),(VLOOKUP(Form!O$26-(VLOOKUP(Form!O$30,Calcs!A$36:B$38,2,FALSE)),Calcs!A$4:C$27,2,FALSE)*Form!O$25),Calcs!F$46*Form!O$25)</f>
        <v>#N/A</v>
      </c>
    </row>
    <row r="20" spans="2:3">
      <c r="B20">
        <f t="shared" si="0"/>
        <v>2034</v>
      </c>
      <c r="C20" s="41" t="e">
        <f ca="1">IF(Calcs!L$4&lt;=VLOOKUP(Form!O$29,Calcs!A$42:B$51,2,FALSE),(VLOOKUP(Form!O$26-(VLOOKUP(Form!O$30,Calcs!A$36:B$38,2,FALSE)),Calcs!A$4:C$27,2,FALSE)*Form!O$25),Calcs!F$46*Form!O$25)</f>
        <v>#N/A</v>
      </c>
    </row>
    <row r="21" spans="2:3">
      <c r="B21">
        <f t="shared" si="0"/>
        <v>2035</v>
      </c>
      <c r="C21" s="41" t="e">
        <f ca="1">IF(Calcs!L$4&lt;=VLOOKUP(Form!O$29,Calcs!A$42:B$51,2,FALSE),(VLOOKUP(Form!O$26-(VLOOKUP(Form!O$30,Calcs!A$36:B$38,2,FALSE)),Calcs!A$4:C$27,2,FALSE)*Form!O$25),Calcs!F$46*Form!O$25)</f>
        <v>#N/A</v>
      </c>
    </row>
    <row r="22" spans="2:3">
      <c r="B22">
        <f t="shared" si="0"/>
        <v>2036</v>
      </c>
      <c r="C22" s="41" t="e">
        <f ca="1">IF(Calcs!L$4&lt;=VLOOKUP(Form!O$29,Calcs!A$42:B$51,2,FALSE),(VLOOKUP(Form!O$26-(VLOOKUP(Form!O$30,Calcs!A$36:B$38,2,FALSE)),Calcs!A$4:C$27,2,FALSE)*Form!O$25),Calcs!F$46*Form!O$25)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Form</vt:lpstr>
      <vt:lpstr>Assumptions</vt:lpstr>
      <vt:lpstr>Calcs</vt:lpstr>
      <vt:lpstr>Report</vt:lpstr>
      <vt:lpstr>addrBN</vt:lpstr>
      <vt:lpstr>addrBN20</vt:lpstr>
      <vt:lpstr>addrBR</vt:lpstr>
      <vt:lpstr>addrBR20</vt:lpstr>
      <vt:lpstr>addrDate20</vt:lpstr>
      <vt:lpstr>addrEngy</vt:lpstr>
      <vt:lpstr>addrENGY20</vt:lpstr>
      <vt:lpstr>addrENGYsls</vt:lpstr>
      <vt:lpstr>addrENGYsls20</vt:lpstr>
      <vt:lpstr>addrLoan</vt:lpstr>
      <vt:lpstr>addrLoan20</vt:lpstr>
      <vt:lpstr>addrNorm</vt:lpstr>
      <vt:lpstr>addrNorm20</vt:lpstr>
      <vt:lpstr>addrOM</vt:lpstr>
      <vt:lpstr>addrOM20</vt:lpstr>
      <vt:lpstr>addrRed</vt:lpstr>
      <vt:lpstr>addrRed20</vt:lpstr>
      <vt:lpstr>addrTime</vt:lpstr>
      <vt:lpstr>addrTitle</vt:lpstr>
      <vt:lpstr>addrTitle20</vt:lpstr>
      <vt:lpstr>addrTotal</vt:lpstr>
      <vt:lpstr>addrTotal20</vt:lpstr>
      <vt:lpstr>addrX</vt:lpstr>
      <vt:lpstr>From_Year</vt:lpstr>
      <vt:lpstr>To_Year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 Beej</dc:creator>
  <cp:lastModifiedBy>Hill, Mary C</cp:lastModifiedBy>
  <cp:lastPrinted>2017-01-11T23:02:05Z</cp:lastPrinted>
  <dcterms:created xsi:type="dcterms:W3CDTF">2016-12-02T20:17:02Z</dcterms:created>
  <dcterms:modified xsi:type="dcterms:W3CDTF">2017-01-18T04:41:27Z</dcterms:modified>
</cp:coreProperties>
</file>